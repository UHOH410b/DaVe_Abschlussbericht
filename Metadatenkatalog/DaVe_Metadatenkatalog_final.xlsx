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74157cdf1e4bed" /></Relationships>
</file>

<file path=xl/workbook.xml><?xml version="1.0" encoding="utf-8"?>
<x:workbook xmlns:x="http://schemas.openxmlformats.org/spreadsheetml/2006/main">
  <x:sheets>
    <x:sheet xmlns:r="http://schemas.openxmlformats.org/officeDocument/2006/relationships" name="Metadatenkatalog" sheetId="1" r:id="Rff3d8bd044be48e0"/>
    <x:sheet xmlns:r="http://schemas.openxmlformats.org/officeDocument/2006/relationships" name="Linkverzeichnis" sheetId="2" r:id="R6d768223efac444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000000"/>
      <x:name val="Carlito"/>
    </x:font>
    <x:font>
      <x:sz val="9"/>
      <x:color rgb="FF000000"/>
      <x:name val="Carlito"/>
    </x:font>
  </x:fonts>
  <x:fills count="3">
    <x:fill>
      <x:patternFill patternType="none"/>
    </x:fill>
    <x:fill>
      <x:patternFill patternType="gray125"/>
    </x:fill>
    <x:fill>
      <x:patternFill patternType="solid">
        <x:fgColor rgb="FFFFFFFF"/>
      </x:patternFill>
    </x:fill>
  </x:fills>
  <x:borders count="3">
    <x:border/>
    <x:border>
      <x:top style="medium">
        <x:color rgb="FF1F4E78"/>
      </x:top>
      <x:bottom style="medium">
        <x:color rgb="FF1F4E78"/>
      </x:bottom>
    </x:border>
    <x:border>
      <x:bottom style="hair">
        <x:color rgb="FFD9E2F3"/>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2" borderId="0" xfId="0" applyNumberFormat="1" applyFont="1" applyFill="1" applyBorder="1"/>
    <x:xf numFmtId="0" fontId="2" fillId="2" borderId="2" xfId="0" applyNumberFormat="1" applyFont="1" applyFill="1" applyBorder="1"/>
    <x:xf numFmtId="0" fontId="2" fillId="2" borderId="0"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95ee0061704a3b" /><Relationship Type="http://schemas.openxmlformats.org/officeDocument/2006/relationships/theme" Target="/xl/theme/theme1.xml" Id="R82ceb1f5a5c84ae1" /><Relationship Type="http://schemas.openxmlformats.org/officeDocument/2006/relationships/sharedStrings" Target="/xl/sharedStrings.xml" Id="R240b3d100059483e" /><Relationship Type="http://schemas.openxmlformats.org/officeDocument/2006/relationships/worksheet" Target="/xl/worksheets/sheet1.xml" Id="Rff3d8bd044be48e0" /><Relationship Type="http://schemas.openxmlformats.org/officeDocument/2006/relationships/worksheet" Target="/xl/worksheets/sheet2.xml" Id="R6d768223efac44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31" hidden="0" customWidth="1"/>
    <x:col min="3" max="3" width="43" hidden="0" customWidth="1"/>
    <x:col min="4" max="4" width="23" hidden="0" customWidth="1"/>
    <x:col min="5" max="5" width="23" hidden="0" customWidth="1"/>
    <x:col min="6" max="6" width="39" hidden="0" customWidth="1"/>
    <x:col min="7" max="7" width="29" hidden="0" customWidth="1"/>
    <x:col min="8" max="8" width="30" hidden="0" customWidth="1"/>
    <x:col min="9" max="9" width="19" hidden="0" customWidth="1"/>
    <x:col min="10" max="10" width="29" hidden="0" customWidth="1"/>
    <x:col min="11" max="11" width="40" hidden="0" customWidth="1"/>
    <x:col min="12" max="12" width="19" hidden="0" customWidth="1"/>
  </x:cols>
  <x:sheetData>
    <x:row r="1" ht="38" customHeight="1">
      <x:c r="A1" s="5" t="str">
        <x:v>Zugehöriger Prozess</x:v>
      </x:c>
      <x:c r="B1" s="5" t="str">
        <x:v>Datenerhebung</x:v>
      </x:c>
      <x:c r="C1" s="5" t="str">
        <x:v>Grundlagendokument</x:v>
      </x:c>
      <x:c r="D1" s="5" t="str">
        <x:v>Datengebende Stelle</x:v>
      </x:c>
      <x:c r="E1" s="5" t="str">
        <x:v>Datenempfangende Stelle</x:v>
      </x:c>
      <x:c r="F1" s="5" t="str">
        <x:v>Beschreibung</x:v>
      </x:c>
      <x:c r="G1" s="5" t="str">
        <x:v>Erhebungs- methode</x:v>
      </x:c>
      <x:c r="H1" s="5" t="str">
        <x:v>Datenquelle</x:v>
      </x:c>
      <x:c r="I1" s="5" t="str">
        <x:v>Format</x:v>
      </x:c>
      <x:c r="J1" s="5" t="str">
        <x:v>Datenstruktur</x:v>
      </x:c>
      <x:c r="K1" s="5" t="str">
        <x:v>Übermittlungsart</x:v>
      </x:c>
      <x:c r="L1" s="5" t="str">
        <x:v>Frequenz</x:v>
      </x:c>
    </x:row>
    <x:row r="2" ht="118.80000305175781" hidden="0" customHeight="1">
      <x:c r="A2" s="10" t="str">
        <x:v>Einreichung und Verwaltung des Gemeinsamen Antrags</x:v>
      </x:c>
      <x:c r="B2" s="10" t="str">
        <x:v>Direktzahlungen (Einkommensgrundstützung EGS, Umverteilungs‑Einkommensstützung UES, Junglandwirte‑Einkommensstützung JES, Öko‑Regelungen, gekoppelte Prämien)</x:v>
      </x:c>
      <x:c r="C2" s="10" t="str">
        <x:v>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x:v>
      </x:c>
      <x:c r="D2" s="10" t="str">
        <x:v>Erzeugender Betrieb</x:v>
      </x:c>
      <x:c r="E2" s="10" t="str">
        <x:v>MLR Referat 25</x:v>
      </x:c>
      <x:c r="F2" s="10" t="str">
        <x:v>Antragsdaten zu Betrieb, Flächen, Fördermaßnahmen und hochgeladenen Nachweisen</x:v>
      </x:c>
      <x:c r="G2" s="10" t="str">
        <x:v>Manuelle Eingabe und Upload im Onlineportal</x:v>
      </x:c>
      <x:c r="H2" s="10" t="str">
        <x:v>Betriebsangaben; Flächen- und Förderinformationen</x:v>
      </x:c>
      <x:c r="I2" s="10" t="str">
        <x:v>HTML; PDF; Upload-Datei</x:v>
      </x:c>
      <x:c r="J2" s="10" t="str">
        <x:v>Onlineformular; Nachweisuploads</x:v>
      </x:c>
      <x:c r="K2" s="10" t="str">
        <x:v>Onlineübermittlung über FIONA</x:v>
      </x:c>
      <x:c r="L2" s="10" t="str">
        <x:v>Jährlich</x:v>
      </x:c>
    </x:row>
    <x:row r="3" ht="118.80000305175781" hidden="0" customHeight="1">
      <x:c r="A3" s="10" t="str">
        <x:v>Einreichung und Verwaltung des Gemeinsamen Antrags</x:v>
      </x:c>
      <x:c r="B3" s="10" t="str">
        <x:v>FAKT II – Förderprogramm für Agrarumwelt, Klimaschutz und Tierwohl</x:v>
      </x:c>
      <x:c r="C3" s="10" t="str">
        <x:v>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D3" s="10" t="str">
        <x:v>Erzeugender Betrieb</x:v>
      </x:c>
      <x:c r="E3" s="10" t="str">
        <x:v>zuständige untere Landwirtschaftsbehörde / MLR Baden-Württemberg</x:v>
      </x:c>
      <x:c r="F3" s="10" t="str">
        <x:v>Antrags- und Nachweisdaten zur Teilnahme an FAKT II-Maßnahmen im Gemeinsamen Antrag</x:v>
      </x:c>
      <x:c r="G3" s="10" t="str">
        <x:v>Manuelle Eingabe und Upload im Onlineportal FIONA</x:v>
      </x:c>
      <x:c r="H3" s="10" t="str">
        <x:v>Betriebs-, Flächen-, Förder- und Nachweisdaten</x:v>
      </x:c>
      <x:c r="I3" s="10" t="str">
        <x:v>HTML; PDF; Upload-Datei</x:v>
      </x:c>
      <x:c r="J3" s="10" t="str">
        <x:v>Onlineformular; Nachweisuploads; Verwaltungsdaten</x:v>
      </x:c>
      <x:c r="K3" s="10" t="str">
        <x:v>Onlineübermittlung über FIONA</x:v>
      </x:c>
      <x:c r="L3" s="10" t="str">
        <x:v>Jährlich; anlassbezogen bei Nachforderungen</x:v>
      </x:c>
    </x:row>
    <x:row r="4" ht="118.80000305175781" hidden="0" customHeight="1">
      <x:c r="A4" s="10" t="str">
        <x:v>Einreichung und Verwaltung des Gemeinsamen Antrags</x:v>
      </x:c>
      <x:c r="B4" s="10" t="str">
        <x:v>Ausgleichszulage (AZL)</x:v>
      </x:c>
      <x:c r="C4" s="10" t="str">
        <x:v>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D4" s="10" t="str">
        <x:v>Erzeugender Betrieb</x:v>
      </x:c>
      <x:c r="E4" s="10" t="str">
        <x:v>zuständige untere Landwirtschaftsbehörde / MLR Baden-Württemberg</x:v>
      </x:c>
      <x:c r="F4" s="10" t="str">
        <x:v>Antrags- und Flächendaten zur Ausgleichszulage in benachteiligten Gebieten</x:v>
      </x:c>
      <x:c r="G4" s="10" t="str">
        <x:v>Manuelle Eingabe und Upload im Onlineportal FIONA</x:v>
      </x:c>
      <x:c r="H4" s="10" t="str">
        <x:v>Betriebs-, Flächen-, Förder- und Nachweisdaten</x:v>
      </x:c>
      <x:c r="I4" s="10" t="str">
        <x:v>HTML; PDF; Upload-Datei</x:v>
      </x:c>
      <x:c r="J4" s="10" t="str">
        <x:v>Onlineformular; Nachweisuploads; Verwaltungsdaten</x:v>
      </x:c>
      <x:c r="K4" s="10" t="str">
        <x:v>Onlineübermittlung über FIONA</x:v>
      </x:c>
      <x:c r="L4" s="10" t="str">
        <x:v>Jährlich; anlassbezogen bei Nachforderungen</x:v>
      </x:c>
    </x:row>
    <x:row r="5" ht="118.80000305175781" hidden="0" customHeight="1">
      <x:c r="A5" s="10" t="str">
        <x:v>Einreichung und Verwaltung des Gemeinsamen Antrags</x:v>
      </x:c>
      <x:c r="B5" s="10" t="str">
        <x:v>Landschaftspflegerichtlinie (LPR‑A)</x:v>
      </x:c>
      <x:c r="C5" s="10" t="str">
        <x:v>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D5" s="10" t="str">
        <x:v>Erzeugender Betrieb</x:v>
      </x:c>
      <x:c r="E5" s="10" t="str">
        <x:v>zuständige untere Landwirtschaftsbehörde / MLR Baden-Württemberg</x:v>
      </x:c>
      <x:c r="F5" s="10" t="str">
        <x:v>Antrags- und Vertragsdaten zu Maßnahmen nach Landschaftspflegerichtlinie Teil A</x:v>
      </x:c>
      <x:c r="G5" s="10" t="str">
        <x:v>Manuelle Eingabe und Upload im Onlineportal FIONA</x:v>
      </x:c>
      <x:c r="H5" s="10" t="str">
        <x:v>Betriebs-, Flächen-, Förder- und Nachweisdaten</x:v>
      </x:c>
      <x:c r="I5" s="10" t="str">
        <x:v>HTML; PDF; Upload-Datei</x:v>
      </x:c>
      <x:c r="J5" s="10" t="str">
        <x:v>Onlineformular; Nachweisuploads; Verwaltungsdaten</x:v>
      </x:c>
      <x:c r="K5" s="10" t="str">
        <x:v>Onlineübermittlung über FIONA</x:v>
      </x:c>
      <x:c r="L5" s="10" t="str">
        <x:v>Jährlich; anlassbezogen bei Nachforderungen</x:v>
      </x:c>
    </x:row>
    <x:row r="6" ht="86.4000015258789" hidden="0" customHeight="1">
      <x:c r="A6" s="10" t="str">
        <x:v>Einreichung und Verwaltung des Gemeinsamen Antrags</x:v>
      </x:c>
      <x:c r="B6" s="10" t="str">
        <x:v>Umweltzulage Wald (UZW)</x:v>
      </x:c>
      <x:c r="C6" s="10" t="str">
        <x:v>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x:v>
      </x:c>
      <x:c r="D6" s="10" t="str">
        <x:v>Erzeugender Betrieb</x:v>
      </x:c>
      <x:c r="E6" s="10" t="str">
        <x:v>zuständige untere Landwirtschaftsbehörde / MLR Baden-Württemberg</x:v>
      </x:c>
      <x:c r="F6" s="10" t="str">
        <x:v>Antrags- und Flächendaten zur Umweltzulage Wald</x:v>
      </x:c>
      <x:c r="G6" s="10" t="str">
        <x:v>Manuelle Eingabe und Upload im Onlineportal FIONA</x:v>
      </x:c>
      <x:c r="H6" s="10" t="str">
        <x:v>Betriebs-, Flächen-, Förder- und Nachweisdaten</x:v>
      </x:c>
      <x:c r="I6" s="10" t="str">
        <x:v>HTML; PDF; Upload-Datei</x:v>
      </x:c>
      <x:c r="J6" s="10" t="str">
        <x:v>Onlineformular; Nachweisuploads; Verwaltungsdaten</x:v>
      </x:c>
      <x:c r="K6" s="10" t="str">
        <x:v>Onlineübermittlung über FIONA</x:v>
      </x:c>
      <x:c r="L6" s="10" t="str">
        <x:v>Jährlich; anlassbezogen bei Nachforderungen</x:v>
      </x:c>
    </x:row>
    <x:row r="7" ht="118.80000305175781" hidden="0" customHeight="1">
      <x:c r="A7" s="10" t="str">
        <x:v>Einreichung und Verwaltung des Gemeinsamen Antrags</x:v>
      </x:c>
      <x:c r="B7" s="10" t="str">
        <x:v>Umstrukturierung und Umstellung von Rebflächen (UuU)</x:v>
      </x:c>
      <x:c r="C7" s="10" t="str">
        <x:v>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D7" s="10" t="str">
        <x:v>Erzeugender Betrieb</x:v>
      </x:c>
      <x:c r="E7" s="10" t="str">
        <x:v>zuständige untere Landwirtschaftsbehörde / MLR Baden-Württemberg</x:v>
      </x:c>
      <x:c r="F7" s="10" t="str">
        <x:v>Antrags- und Rebflächendaten zur Umstrukturierung und Umstellung von Rebflächen</x:v>
      </x:c>
      <x:c r="G7" s="10" t="str">
        <x:v>Manuelle Eingabe und Upload im Onlineportal FIONA</x:v>
      </x:c>
      <x:c r="H7" s="10" t="str">
        <x:v>Betriebs-, Flächen-, Förder- und Nachweisdaten</x:v>
      </x:c>
      <x:c r="I7" s="10" t="str">
        <x:v>HTML; PDF; Upload-Datei</x:v>
      </x:c>
      <x:c r="J7" s="10" t="str">
        <x:v>Onlineformular; Nachweisuploads; Verwaltungsdaten</x:v>
      </x:c>
      <x:c r="K7" s="10" t="str">
        <x:v>Onlineübermittlung über FIONA</x:v>
      </x:c>
      <x:c r="L7" s="10" t="str">
        <x:v>Jährlich; anlassbezogen bei Nachforderungen</x:v>
      </x:c>
    </x:row>
    <x:row r="8" ht="75.5999984741211" hidden="0" customHeight="1">
      <x:c r="A8" s="10" t="str">
        <x:v>Einreichung und Verwaltung des Gemeinsamen Antrags</x:v>
      </x:c>
      <x:c r="B8" s="10" t="str">
        <x:v>Pheromonverfahren im Weinbau (PHW)</x:v>
      </x:c>
      <x:c r="C8" s="10" t="str">
        <x:v>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v>
      </x:c>
      <x:c r="D8" s="10" t="str">
        <x:v>Erzeugender Betrieb</x:v>
      </x:c>
      <x:c r="E8" s="10" t="str">
        <x:v>zuständige untere Landwirtschaftsbehörde / MLR Baden-Württemberg</x:v>
      </x:c>
      <x:c r="F8" s="10" t="str">
        <x:v>Antrags- und Flächendaten zur Förderung des Pheromonverfahrens im Weinbau</x:v>
      </x:c>
      <x:c r="G8" s="10" t="str">
        <x:v>Manuelle Eingabe und Upload im Onlineportal FIONA</x:v>
      </x:c>
      <x:c r="H8" s="10" t="str">
        <x:v>Betriebs-, Flächen-, Förder- und Nachweisdaten</x:v>
      </x:c>
      <x:c r="I8" s="10" t="str">
        <x:v>HTML; PDF; Upload-Datei</x:v>
      </x:c>
      <x:c r="J8" s="10" t="str">
        <x:v>Onlineformular; Nachweisuploads; Verwaltungsdaten</x:v>
      </x:c>
      <x:c r="K8" s="10" t="str">
        <x:v>Onlineübermittlung über FIONA</x:v>
      </x:c>
      <x:c r="L8" s="10" t="str">
        <x:v>Jährlich; anlassbezogen bei Nachforderungen</x:v>
      </x:c>
    </x:row>
    <x:row r="9" ht="75.5999984741211" hidden="0" customHeight="1">
      <x:c r="A9" s="10" t="str">
        <x:v>Einreichung und Verwaltung des Gemeinsamen Antrags</x:v>
      </x:c>
      <x:c r="B9" s="10" t="str">
        <x:v>Handarbeitsweinbau (HWB)</x:v>
      </x:c>
      <x:c r="C9" s="10" t="str">
        <x:v>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v>
      </x:c>
      <x:c r="D9" s="10" t="str">
        <x:v>Erzeugender Betrieb</x:v>
      </x:c>
      <x:c r="E9" s="10" t="str">
        <x:v>zuständige untere Landwirtschaftsbehörde / MLR Baden-Württemberg</x:v>
      </x:c>
      <x:c r="F9" s="10" t="str">
        <x:v>Antrags- und Rebflächendaten zur Förderung des Handarbeitsweinbaus</x:v>
      </x:c>
      <x:c r="G9" s="10" t="str">
        <x:v>Manuelle Eingabe und Upload im Onlineportal FIONA</x:v>
      </x:c>
      <x:c r="H9" s="10" t="str">
        <x:v>Betriebs-, Flächen-, Förder- und Nachweisdaten</x:v>
      </x:c>
      <x:c r="I9" s="10" t="str">
        <x:v>HTML; PDF; Upload-Datei</x:v>
      </x:c>
      <x:c r="J9" s="10" t="str">
        <x:v>Onlineformular; Nachweisuploads; Verwaltungsdaten</x:v>
      </x:c>
      <x:c r="K9" s="10" t="str">
        <x:v>Onlineübermittlung über FIONA</x:v>
      </x:c>
      <x:c r="L9" s="10" t="str">
        <x:v>Jährlich; anlassbezogen bei Nachforderungen</x:v>
      </x:c>
    </x:row>
    <x:row r="10" ht="64.80000305175781" hidden="0" customHeight="1">
      <x:c r="A10" s="10" t="str">
        <x:v>Einreichung und Verwaltung des Gemeinsamen Antrags</x:v>
      </x:c>
      <x:c r="B10" s="10" t="str">
        <x:v>Steillagenförderung Dauergrünland (SLG)</x:v>
      </x:c>
      <x:c r="C10" s="10" t="str">
        <x:v>VwV SLG im Landesrecht BW
Verordnung (EU) Nr. 1408/2013 der Kommission vom 18. Dezember 2013 über die Anwendung der Artikel 107 und 108 des Vertrags über die Arbeitsweise der Europäischen Union auf De-minimis-Beihilfen im Agrarsektor</x:v>
      </x:c>
      <x:c r="D10" s="10" t="str">
        <x:v>Erzeugender Betrieb</x:v>
      </x:c>
      <x:c r="E10" s="10" t="str">
        <x:v>zuständige untere Landwirtschaftsbehörde / MLR Baden-Württemberg</x:v>
      </x:c>
      <x:c r="F10" s="10" t="str">
        <x:v>Antrags- und Flächendaten zur Steillagenförderung Dauergrünland</x:v>
      </x:c>
      <x:c r="G10" s="10" t="str">
        <x:v>Manuelle Eingabe und Upload im Onlineportal FIONA</x:v>
      </x:c>
      <x:c r="H10" s="10" t="str">
        <x:v>Betriebs-, Flächen-, Förder- und Nachweisdaten</x:v>
      </x:c>
      <x:c r="I10" s="10" t="str">
        <x:v>HTML; PDF; Upload-Datei</x:v>
      </x:c>
      <x:c r="J10" s="10" t="str">
        <x:v>Onlineformular; Nachweisuploads; Verwaltungsdaten</x:v>
      </x:c>
      <x:c r="K10" s="10" t="str">
        <x:v>Onlineübermittlung über FIONA</x:v>
      </x:c>
      <x:c r="L10" s="10" t="str">
        <x:v>Jährlich; anlassbezogen bei Nachforderungen</x:v>
      </x:c>
    </x:row>
    <x:row r="11" ht="237.60000610351562" hidden="0" customHeight="1">
      <x:c r="A11" s="10" t="str">
        <x:v>Einreichung und Verwaltung des Gemeinsamen Antrags</x:v>
      </x:c>
      <x:c r="B11" s="10" t="str">
        <x:v>Erschwernisausgleich Pflanzenschutz (EAPS)</x:v>
      </x:c>
      <x:c r="C11" s="10" t="str">
        <x:v>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x:v>
      </x:c>
      <x:c r="D11" s="10" t="str">
        <x:v>Erzeugender Betrieb</x:v>
      </x:c>
      <x:c r="E11" s="10" t="str">
        <x:v>zuständige untere Landwirtschaftsbehörde / MLR Baden-Württemberg</x:v>
      </x:c>
      <x:c r="F11" s="10" t="str">
        <x:v>Antrags-, Flächen- und Nachweisdaten zum Erschwernisausgleich Pflanzenschutz</x:v>
      </x:c>
      <x:c r="G11" s="10" t="str">
        <x:v>Manuelle Eingabe und Upload im Onlineportal FIONA</x:v>
      </x:c>
      <x:c r="H11" s="10" t="str">
        <x:v>Betriebs-, Flächen-, Förder- und Nachweisdaten</x:v>
      </x:c>
      <x:c r="I11" s="10" t="str">
        <x:v>HTML; PDF; Upload-Datei</x:v>
      </x:c>
      <x:c r="J11" s="10" t="str">
        <x:v>Onlineformular; Nachweisuploads; Verwaltungsdaten</x:v>
      </x:c>
      <x:c r="K11" s="10" t="str">
        <x:v>Onlineübermittlung über FIONA</x:v>
      </x:c>
      <x:c r="L11" s="10" t="str">
        <x:v>Jährlich; anlassbezogen bei Nachforderungen</x:v>
      </x:c>
    </x:row>
    <x:row r="12" ht="86.4000015258789" hidden="0" customHeight="1">
      <x:c r="A12" s="10" t="str">
        <x:v>Einreichung und Verwaltung des Gemeinsamen Antrags</x:v>
      </x:c>
      <x:c r="B12" s="10" t="str">
        <x:v>SchALVO – Ausgleich für Nutzungsbeschränkungen in Wasserschutzgebieten</x:v>
      </x:c>
      <x:c r="C12" s="10" t="str">
        <x:v>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x:v>
      </x:c>
      <x:c r="D12" s="10" t="str">
        <x:v>Erzeugender Betrieb</x:v>
      </x:c>
      <x:c r="E12" s="10" t="str">
        <x:v>zuständige untere Landwirtschaftsbehörde / MLR Baden-Württemberg</x:v>
      </x:c>
      <x:c r="F12" s="10" t="str">
        <x:v>Antrags- und Flächendaten zum SchALVO-Ausgleich in Wasserschutzgebieten</x:v>
      </x:c>
      <x:c r="G12" s="10" t="str">
        <x:v>Manuelle Eingabe und Upload im Onlineportal FIONA</x:v>
      </x:c>
      <x:c r="H12" s="10" t="str">
        <x:v>Betriebs-, Flächen-, Förder- und Nachweisdaten</x:v>
      </x:c>
      <x:c r="I12" s="10" t="str">
        <x:v>HTML; PDF; Upload-Datei</x:v>
      </x:c>
      <x:c r="J12" s="10" t="str">
        <x:v>Onlineformular; Nachweisuploads; Verwaltungsdaten</x:v>
      </x:c>
      <x:c r="K12" s="10" t="str">
        <x:v>Onlineübermittlung über FIONA</x:v>
      </x:c>
      <x:c r="L12" s="10" t="str">
        <x:v>Jährlich; anlassbezogen bei Nachforderungen</x:v>
      </x:c>
    </x:row>
    <x:row r="13" ht="172.8000030517578" hidden="0" customHeight="1">
      <x:c r="A13" s="10" t="str">
        <x:v>Einreichung und Verwaltung des Gemeinsamen Antrags</x:v>
      </x:c>
      <x:c r="B13" s="10" t="str">
        <x:v>Cross‑Compliance/CC‑Verpflichtungen (WBF)</x:v>
      </x:c>
      <x:c r="C13" s="10" t="str">
        <x:v>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x:v>
      </x:c>
      <x:c r="D13" s="10" t="str">
        <x:v>Erzeugender Betrieb</x:v>
      </x:c>
      <x:c r="E13" s="10" t="str">
        <x:v>zuständige untere Landwirtschaftsbehörde / MLR Baden-Württemberg</x:v>
      </x:c>
      <x:c r="F13" s="10" t="str">
        <x:v>Angaben und Nachweise zu Cross-Compliance-/Konditionalitätsverpflichtungen im Förderkontext</x:v>
      </x:c>
      <x:c r="G13" s="10" t="str">
        <x:v>Manuelle Eingabe und Upload im Onlineportal FIONA</x:v>
      </x:c>
      <x:c r="H13" s="10" t="str">
        <x:v>Betriebs-, Flächen-, Förder- und Nachweisdaten</x:v>
      </x:c>
      <x:c r="I13" s="10" t="str">
        <x:v>HTML; PDF; Upload-Datei</x:v>
      </x:c>
      <x:c r="J13" s="10" t="str">
        <x:v>Onlineformular; Nachweisuploads; Verwaltungsdaten</x:v>
      </x:c>
      <x:c r="K13" s="10" t="str">
        <x:v>Onlineübermittlung über FIONA</x:v>
      </x:c>
      <x:c r="L13" s="10" t="str">
        <x:v>Jährlich; anlassbezogen bei Nachforderungen</x:v>
      </x:c>
    </x:row>
    <x:row r="14" ht="205.1999969482422" hidden="0" customHeight="1">
      <x:c r="A14" s="10" t="str">
        <x:v>Einreichung und Verwaltung des Gemeinsamen Antrags</x:v>
      </x:c>
      <x:c r="B14" s="10" t="str">
        <x:v>De‑Minimis‑Beihilfen</x:v>
      </x:c>
      <x:c r="C14" s="10" t="str">
        <x:v>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x:v>
      </x:c>
      <x:c r="D14" s="10" t="str">
        <x:v>Erzeugender Betrieb</x:v>
      </x:c>
      <x:c r="E14" s="10" t="str">
        <x:v>zuständige untere Landwirtschaftsbehörde / MLR Baden-Württemberg</x:v>
      </x:c>
      <x:c r="F14" s="10" t="str">
        <x:v>Angaben zu De-minimis-relevanten Beihilfen im Förderkontext</x:v>
      </x:c>
      <x:c r="G14" s="10" t="str">
        <x:v>Manuelle Eingabe und Upload im Onlineportal FIONA</x:v>
      </x:c>
      <x:c r="H14" s="10" t="str">
        <x:v>Betriebs-, Flächen-, Förder- und Nachweisdaten</x:v>
      </x:c>
      <x:c r="I14" s="10" t="str">
        <x:v>HTML; PDF; Upload-Datei</x:v>
      </x:c>
      <x:c r="J14" s="10" t="str">
        <x:v>Onlineformular; Nachweisuploads; Verwaltungsdaten</x:v>
      </x:c>
      <x:c r="K14" s="10" t="str">
        <x:v>Onlineübermittlung über FIONA</x:v>
      </x:c>
      <x:c r="L14" s="10" t="str">
        <x:v>Jährlich; anlassbezogen bei Nachforderungen</x:v>
      </x:c>
    </x:row>
    <x:row r="15" ht="43.20000076293945" hidden="0" customHeight="1">
      <x:c r="A15" s="10" t="str">
        <x:v>Erfüllung der Anforderungen aus dem Fachrecht</x:v>
      </x:c>
      <x:c r="B15" s="10" t="str">
        <x:v>Düngeverordnung - DüV</x:v>
      </x:c>
      <x:c r="C15" s="10" t="str">
        <x:v>Verordnung über die Anwendung von Düngemitteln, Bodenhilfsstoffen, Kultursubstraten und Pflanzenhilfsmitteln nach den Grundsätzen der guten fachlichen Praxis beim Düngen (Düngeverordnung - DüV)</x:v>
      </x:c>
      <x:c r="D15" s="10" t="str">
        <x:v>Erzeugender Betrieb</x:v>
      </x:c>
      <x:c r="E15" s="10" t="str">
        <x:v>Kontrollstelle; zuständige Behörde</x:v>
      </x:c>
      <x:c r="F15" s="10" t="str">
        <x:v>Aufzeichnungen zu Düngebedarf, aufgebrachten Nährstoffmengen, Düngemitteln, Flächen und Zeitpunkten der Düngung</x:v>
      </x:c>
      <x:c r="G15" s="10" t="str">
        <x:v>Manuelle oder digitale betriebliche Dokumentation</x:v>
      </x:c>
      <x:c r="H15" s="10" t="str">
        <x:v>Düngeplanung; betriebliche Bewirtschaftungsdaten; Flächendaten</x:v>
      </x:c>
      <x:c r="I15" s="10" t="str">
        <x:v>HTML; PDF; XLSX; CSV</x:v>
      </x:c>
      <x:c r="J15" s="10" t="str">
        <x:v>Aufzeichnungen; Berechnungen; Nachweise</x:v>
      </x:c>
      <x:c r="K15" s="10" t="str">
        <x:v>Vorlage bei Kontrolle; ggf. digitale oder schriftliche Übermittlung
Düngung BW</x:v>
      </x:c>
      <x:c r="L15" s="10" t="str">
        <x:v>Vor Düngung bzw. fortlaufend; jährlich prüfbar</x:v>
      </x:c>
    </x:row>
    <x:row r="16" ht="21.600000381469727" hidden="0" customHeight="1">
      <x:c r="A16" s="10" t="str">
        <x:v>Erfüllung der Anforderungen aus dem Fachrecht</x:v>
      </x:c>
      <x:c r="B16" s="10" t="str">
        <x:v>Pflanzenschutzgesetz - PflSchG</x:v>
      </x:c>
      <x:c r="C16" s="10" t="str">
        <x:v>Gesetz zum Schutz der Kulturpflanzen (Pflanzenschutzgesetz - PflSchG)</x:v>
      </x:c>
      <x:c r="D16" s="10" t="str">
        <x:v>Erzeugender Betrieb</x:v>
      </x:c>
      <x:c r="E16" s="10" t="str">
        <x:v>Kontrollstelle; zuständige Behörde</x:v>
      </x:c>
      <x:c r="F16" s="10" t="str">
        <x:v>Aufzeichnungen zu angewendeten Pflanzenschutzmitteln, Kultur, Fläche, Zeitpunkt, Menge und Anwenderangaben</x:v>
      </x:c>
      <x:c r="G16" s="10" t="str">
        <x:v>Manuelle oder digitale Dokumentation der Anwendungen</x:v>
      </x:c>
      <x:c r="H16" s="10" t="str">
        <x:v>Pflanzenschutzmaßnahmen; Betriebsmittel; Anwendungsdaten</x:v>
      </x:c>
      <x:c r="I16" s="10" t="str">
        <x:v>HTML; CSV; XML</x:v>
      </x:c>
      <x:c r="J16" s="10" t="str">
        <x:v>Aufzeichnungen; ggf. tabellarische Dokumentation</x:v>
      </x:c>
      <x:c r="K16" s="10" t="str">
        <x:v>Vorlage bei Kontrolle; ggf. digitale oder schriftliche Übermittlung
PSD-Dokumentation</x:v>
      </x:c>
      <x:c r="L16" s="10" t="str">
        <x:v>Je Anwendung; fortlaufend</x:v>
      </x:c>
    </x:row>
    <x:row r="17" ht="32.400001525878906" hidden="0" customHeight="1">
      <x:c r="A17" s="10" t="str">
        <x:v>Erfüllung der Anforderungen aus dem Fachrecht</x:v>
      </x:c>
      <x:c r="B17" s="10" t="str">
        <x:v>Pflanzenschutz-Sachkundeverordnung - PflSchSachkV 2013</x:v>
      </x:c>
      <x:c r="C17" s="10" t="str">
        <x:v>Verordnung über die Sachkunde im Pflanzenschutz (Pflanzenschutz-Sachkundeverordnung - PflSchSachkV)</x:v>
      </x:c>
      <x:c r="D17" s="10" t="str">
        <x:v>Erzeugender Betrieb</x:v>
      </x:c>
      <x:c r="E17" s="10" t="str">
        <x:v>Kontrollstelle; zuständige Behörde</x:v>
      </x:c>
      <x:c r="F17" s="10" t="str">
        <x:v>Nachweis, dass die für Pflanzenschutzmittelanwendungen verantwortliche Person sachkundig ist und Fortbildungen absolviert</x:v>
      </x:c>
      <x:c r="G17" s="10" t="str">
        <x:v>Vorlage vorhandener Nachweise</x:v>
      </x:c>
      <x:c r="H17" s="10" t="str">
        <x:v>Sachkundenachweis; Fortbildungsnachweise</x:v>
      </x:c>
      <x:c r="I17" s="10" t="str">
        <x:v>HTML; PDF</x:v>
      </x:c>
      <x:c r="J17" s="10" t="str">
        <x:v>Nachweis; Bescheinigung</x:v>
      </x:c>
      <x:c r="K17" s="10" t="str">
        <x:v>Vorlage bei Kontrolle
Sachkundenachweis-Portal</x:v>
      </x:c>
      <x:c r="L17" s="10" t="str">
        <x:v>Bei Kontrolle; Fortbildung turnusgemäß</x:v>
      </x:c>
    </x:row>
    <x:row r="18" ht="64.80000305175781" hidden="0" customHeight="1">
      <x:c r="A18" s="10" t="str">
        <x:v>Erfüllung der Anforderungen aus dem Fachrecht</x:v>
      </x:c>
      <x:c r="B18" s="10" t="str">
        <x:v>Weinbaukartei</x:v>
      </x:c>
      <x:c r="C18" s="10" t="str">
        <x:v>Weingesetz
Wein-Überwachungsverordnung</x:v>
      </x:c>
      <x:c r="D18" s="10" t="str">
        <x:v>Erzeugender Betrieb; Genossenschaft</x:v>
      </x:c>
      <x:c r="E18" s="10" t="str">
        <x:v>WBI Freiburg bzw. LVWO Weinsberg; zuständige Weinbauverwaltung</x:v>
      </x:c>
      <x:c r="F18" s="10" t="str">
        <x:v>Meldungen zu Rebflächen, Ernte, Erzeugung und ggf. weiteren weinrechtlich relevanten Angaben</x:v>
      </x:c>
      <x:c r="G18" s="10" t="str">
        <x:v>Formularbasierte Meldung oder digitale Einreichung im Weinbau Portal BW (WBK/QWSP), soweit für das konkrete Fachverfahren freigeschaltet</x:v>
      </x:c>
      <x:c r="H18" s="10" t="str">
        <x:v>Rebflächen; Erntedaten; Erzeugungsdaten</x:v>
      </x:c>
      <x:c r="I18" s="10" t="str">
        <x:v>HTML; PDF</x:v>
      </x:c>
      <x:c r="J18" s="10" t="str">
        <x:v>Formular; Meldedaten</x:v>
      </x:c>
      <x:c r="K18" s="10" t="str">
        <x:v>Übermittlung an zuständige Weinbauverwaltung; online über Weinbau Portal BW (WBK/QWSP) soweit verfügbar, sonst über WBI/LVWO-Formularweg
Online-Angebot
Formular oder Dokument
Weinbau-Portal</x:v>
      </x:c>
      <x:c r="L18" s="10" t="str">
        <x:v>Jährlich bzw. anlassbezogen</x:v>
      </x:c>
    </x:row>
    <x:row r="19" ht="64.80000305175781" hidden="0" customHeight="1">
      <x:c r="A19" s="10" t="str">
        <x:v>Erfüllung der Anforderungen aus dem Fachrecht</x:v>
      </x:c>
      <x:c r="B19" s="10" t="str">
        <x:v>Neuanpflanzung</x:v>
      </x:c>
      <x:c r="C19" s="10" t="str">
        <x:v>Wein-Überwachungsverordnung</x:v>
      </x:c>
      <x:c r="D19" s="10" t="str">
        <x:v>Erzeugender Betrieb; Genossenschaft</x:v>
      </x:c>
      <x:c r="E19" s="10" t="str">
        <x:v>WBI Freiburg bzw. LVWO Weinsberg; zuständige Weinbauverwaltung</x:v>
      </x:c>
      <x:c r="F19" s="10" t="str">
        <x:v>Bescheinigung zur nutzbaren geografischen Angabe im Zusammenhang mit der Antragstellung für Neuanpflanzung von Weinreben</x:v>
      </x:c>
      <x:c r="G19" s="10" t="str">
        <x:v>Formularbasierte Meldung oder digitale Einreichung im Weinbau Portal BW (WBK/QWSP), soweit für das konkrete Fachverfahren freigeschaltet</x:v>
      </x:c>
      <x:c r="H19" s="10" t="str">
        <x:v>Rebflächen-, Lage- und Antragsdaten</x:v>
      </x:c>
      <x:c r="I19" s="10" t="str">
        <x:v>HTML; PDF</x:v>
      </x:c>
      <x:c r="J19" s="10" t="str">
        <x:v>Formular; Meldedaten</x:v>
      </x:c>
      <x:c r="K19" s="10" t="str">
        <x:v>Übermittlung an zuständige Weinbauverwaltung; online über Weinbau Portal BW (WBK/QWSP) soweit verfügbar, sonst über WBI/LVWO-Formularweg
Online-Angebot
Formular oder Dokument
Weinbau-Portal</x:v>
      </x:c>
      <x:c r="L19" s="10" t="str">
        <x:v>Jährlich bzw. anlassbezogen</x:v>
      </x:c>
    </x:row>
    <x:row r="20" ht="32.400001525878906" hidden="0" customHeight="1">
      <x:c r="A20" s="10" t="str">
        <x:v>Erfüllung der Anforderungen aus dem Fachrecht</x:v>
      </x:c>
      <x:c r="B20" s="10" t="str">
        <x:v>Weinmarktverwaltung</x:v>
      </x:c>
      <x:c r="C20" s="10" t="str">
        <x:v>Weingesetz
Wein-Überwachungsverordnung</x:v>
      </x:c>
      <x:c r="D20" s="10" t="str">
        <x:v>Erzeugender Betrieb / Genossenschaft</x:v>
      </x:c>
      <x:c r="E20" s="10" t="str">
        <x:v>WBI Freiburg bzw. zuständige Weinbauverwaltung</x:v>
      </x:c>
      <x:c r="F20" s="10" t="str">
        <x:v>Meldungen und Formulare der Weinmarktverwaltung, u. a. Lieferantenverzeichnis, Weinerzeugungsmeldung, Ernte-/Ertragsmeldung und Hektarertragsmeldung</x:v>
      </x:c>
      <x:c r="G20" s="10" t="str">
        <x:v>Formularbasierte Meldung</x:v>
      </x:c>
      <x:c r="H20" s="10" t="str">
        <x:v>Erzeugungs-, Lieferanten-, Ernte- und Ertragsdaten</x:v>
      </x:c>
      <x:c r="I20" s="10" t="str">
        <x:v>HTML; PDF</x:v>
      </x:c>
      <x:c r="J20" s="10" t="str">
        <x:v>Formulare und Meldedaten</x:v>
      </x:c>
      <x:c r="K20" s="10" t="str">
        <x:v>Übermittlung an zuständige Weinbauverwaltung
Online-Angebot</x:v>
      </x:c>
      <x:c r="L20" s="10" t="str">
        <x:v>Jährlich bzw. anlassbezogen</x:v>
      </x:c>
    </x:row>
    <x:row r="21" ht="32.400001525878906" hidden="0" customHeight="1">
      <x:c r="A21" s="10" t="str">
        <x:v>Erfüllung der Anforderungen aus dem Fachrecht</x:v>
      </x:c>
      <x:c r="B21" s="10" t="str">
        <x:v>WeinÜV 1995</x:v>
      </x:c>
      <x:c r="C21" s="10" t="str">
        <x:v>Wein-Überwachungsverordnung</x:v>
      </x:c>
      <x:c r="D21" s="10" t="str">
        <x:v>Genossenschaft</x:v>
      </x:c>
      <x:c r="E21" s="10" t="str">
        <x:v>Kontrollstelle; zuständige Weinüberwachung</x:v>
      </x:c>
      <x:c r="F21" s="10" t="str">
        <x:v>Dokumentation kellerwirtschaftlicher Vorgänge, Ein- und Ausgänge sowie weinrechtlich relevanter Behandlungen und Bestände</x:v>
      </x:c>
      <x:c r="G21" s="10" t="str">
        <x:v>Laufende betriebliche Buchführung</x:v>
      </x:c>
      <x:c r="H21" s="10" t="str">
        <x:v>Kellerwirtschaftliche Vorgänge; Wareneingänge; Warenausgänge; Behandlungsdaten</x:v>
      </x:c>
      <x:c r="I21" s="10" t="str">
        <x:v>PDF; XLSX; CSV</x:v>
      </x:c>
      <x:c r="J21" s="10" t="str">
        <x:v>Buchführung; Register; Aufzeichnungen</x:v>
      </x:c>
      <x:c r="K21" s="10" t="str">
        <x:v>Vorlage bei Kontrolle</x:v>
      </x:c>
      <x:c r="L21" s="10" t="str">
        <x:v>Fortlaufend</x:v>
      </x:c>
    </x:row>
    <x:row r="22" ht="54" hidden="0" customHeight="1">
      <x:c r="A22" s="10" t="str">
        <x:v>Erfüllung der Anforderungen aus dem Fachrecht</x:v>
      </x:c>
      <x:c r="B22" s="10" t="str">
        <x:v>Rückverfolgbarkeit</x:v>
      </x:c>
      <x:c r="C22" s="10" t="str">
        <x:v>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x:v>
      </x:c>
      <x:c r="D22" s="10" t="str">
        <x:v>Genossenschaft; ggf. erzeugender Betrieb</x:v>
      </x:c>
      <x:c r="E22" s="10" t="str">
        <x:v>Kontrollstelle; Lebensmittelüberwachung</x:v>
      </x:c>
      <x:c r="F22" s="10" t="str">
        <x:v>Dokumentation, von wem Erzeugnisse bezogen und an wen sie abgegeben wurden; Grundlage für Rückverfolgbarkeit und Krisenmanagement</x:v>
      </x:c>
      <x:c r="G22" s="10" t="str">
        <x:v>Laufende Dokumentation von Lieferanten-, Abnehmer-, Chargen- und Produktdaten</x:v>
      </x:c>
      <x:c r="H22" s="10" t="str">
        <x:v>Lieferbelege; Abnehmerdaten; Chargen- bzw. Losdaten</x:v>
      </x:c>
      <x:c r="I22" s="10" t="str">
        <x:v>XLSX; CSV; PDF</x:v>
      </x:c>
      <x:c r="J22" s="10" t="str">
        <x:v>Lieferanten- und Abnehmerdaten; Chargen-/Losdokumentation</x:v>
      </x:c>
      <x:c r="K22" s="10" t="str">
        <x:v>Vorlage bei Kontrolle; ggf. behördliche Auskunft</x:v>
      </x:c>
      <x:c r="L22" s="10" t="str">
        <x:v>Fortlaufend</x:v>
      </x:c>
    </x:row>
    <x:row r="23" ht="21.600000381469727" hidden="0" customHeight="1">
      <x:c r="A23" s="10" t="str">
        <x:v>Erfüllung der Anforderungen aus dem Fachrecht</x:v>
      </x:c>
      <x:c r="B23" s="10" t="str">
        <x:v>Weinrechtliche Qualitätsunterlagen</x:v>
      </x:c>
      <x:c r="C23" s="10" t="str">
        <x:v>Weingesetz
Wein-Überwachungsverordnung</x:v>
      </x:c>
      <x:c r="D23" s="10" t="str">
        <x:v>Genossenschaft</x:v>
      </x:c>
      <x:c r="E23" s="10" t="str">
        <x:v>Staatl. Prüfstelle</x:v>
      </x:c>
      <x:c r="F23" s="10" t="str">
        <x:v>Produktbezogene Daten, Analysen und Proben zur amtlichen Qualitätsprüfung und zur Zuteilung der A.P.-Nummer</x:v>
      </x:c>
      <x:c r="G23" s="10" t="str">
        <x:v>Antragstellung; Probenübermittlung; Analyse</x:v>
      </x:c>
      <x:c r="H23" s="10" t="str">
        <x:v>Produktdaten; Analysedaten; Probe</x:v>
      </x:c>
      <x:c r="I23" s="10" t="str">
        <x:v>PDF; XLSX; CSV</x:v>
      </x:c>
      <x:c r="J23" s="10" t="str">
        <x:v>Antrag; Analysedaten; Probe; Prüfbericht</x:v>
      </x:c>
      <x:c r="K23" s="10" t="str">
        <x:v>Übermittlung an staatliche Prüfstelle
Online-Angebot</x:v>
      </x:c>
      <x:c r="L23" s="10" t="str">
        <x:v>Je Partie bzw. Antrag</x:v>
      </x:c>
    </x:row>
    <x:row r="24" ht="43.20000076293945" hidden="0" customHeight="1">
      <x:c r="A24" s="10" t="str">
        <x:v>Mitgliedschaft in Genossenschaft und Traubenlieferung</x:v>
      </x:c>
      <x:c r="B24" s="10" t="str">
        <x:v>Mitgliedsdaten</x:v>
      </x:c>
      <x:c r="C24" s="10" t="str">
        <x:v>Satzung, Mitgliedschaftsordnung, Lieferordnung bzw. vertragliche Unterlagen der jeweiligen Genossenschaft</x:v>
      </x:c>
      <x:c r="D24" s="10" t="str">
        <x:v>Erzeugender Betrieb</x:v>
      </x:c>
      <x:c r="E24" s="10" t="str">
        <x:v>Genossenschaft</x:v>
      </x:c>
      <x:c r="F24" s="10" t="str">
        <x:v>Unterlagen zur Aufnahme und Verwaltung eines Betriebs als Mitglied</x:v>
      </x:c>
      <x:c r="G24" s="10" t="str">
        <x:v>Antrag bzw. Übermittlung von Betriebsdaten</x:v>
      </x:c>
      <x:c r="H24" s="10" t="str">
        <x:v>Betriebsangaben des erzeugenden Betriebs</x:v>
      </x:c>
      <x:c r="I24" s="10" t="str">
        <x:v>PDF; XLSX; CSV</x:v>
      </x:c>
      <x:c r="J24" s="10" t="str">
        <x:v>Formular; Stammdatensatz</x:v>
      </x:c>
      <x:c r="K24" s="10" t="str">
        <x:v>Übermittlungsweg ist nicht einheitlich standardisiert;
wird von der jeweiligen Genossenschaft festgelegt;
mögliche Übermittlung per Beitrittsformular, E-Mail oder direkter Erfassung in der Mitgliederverwaltung.</x:v>
      </x:c>
      <x:c r="L24" s="10" t="str">
        <x:v>Bei Eintritt; bei Änderungen</x:v>
      </x:c>
    </x:row>
    <x:row r="25" ht="21.600000381469727" hidden="0" customHeight="1">
      <x:c r="A25" s="10" t="str">
        <x:v>Mitgliedschaft in Genossenschaft und Traubenlieferung</x:v>
      </x:c>
      <x:c r="B25" s="10" t="str">
        <x:v>Traubenlieferdaten</x:v>
      </x:c>
      <x:c r="C25" s="10" t="str">
        <x:v>Satzung, Mitgliedschaftsordnung, Lieferordnung bzw. vertragliche Unterlagen der jeweiligen Genossenschaft</x:v>
      </x:c>
      <x:c r="D25" s="10" t="str">
        <x:v>Genossenschaft</x:v>
      </x:c>
      <x:c r="E25" s="10" t="str">
        <x:v>Erzeugender Betrieb</x:v>
      </x:c>
      <x:c r="F25" s="10" t="str">
        <x:v>Daten zu Lieferung, Annahme, Menge, Qualität und ggf. Abrechnung</x:v>
      </x:c>
      <x:c r="G25" s="10" t="str">
        <x:v>Erfassung bei Lieferung und Annahme</x:v>
      </x:c>
      <x:c r="H25" s="10" t="str">
        <x:v>Traubenlieferung; Wiege- und Qualitätsdaten</x:v>
      </x:c>
      <x:c r="I25" s="10" t="str">
        <x:v>CSV; XLSX; PDF</x:v>
      </x:c>
      <x:c r="J25" s="10" t="str">
        <x:v>Tabellarische Lieferdaten; Abrechnungsdaten</x:v>
      </x:c>
      <x:c r="K25" s="10" t="str">
        <x:v>Übermittlung per E-Mail.</x:v>
      </x:c>
      <x:c r="L25" s="10" t="str">
        <x:v>Je Lieferung; saisonal</x:v>
      </x:c>
    </x:row>
    <x:row r="26" ht="75.5999984741211" hidden="0" customHeight="1">
      <x:c r="A26" s="10" t="str">
        <x:v>QZBW-/BIOZBW-Einzelzertifizierung (EZ)</x:v>
      </x:c>
      <x:c r="B26" s="10" t="str">
        <x:v>EZ-Teilnahme</x:v>
      </x:c>
      <x:c r="C26" s="10" t="str">
        <x:v>Qualitätszeichen Baden-Württemberg
Biozeichen Baden-Württemberg
Mitteilung der Kommission - EU-Leitlinien für eine gute Praxis bei freiwilligen Zertifizierungssystemen für landwirtschaftliche Erzeugnisse und Lebensmittel</x:v>
      </x:c>
      <x:c r="D26" s="10" t="str">
        <x:v>Erzeugender Betrieb</x:v>
      </x:c>
      <x:c r="E26" s="10" t="str">
        <x:v>Kontrollstelle</x:v>
      </x:c>
      <x:c r="F26" s="10" t="str">
        <x:v>Unterlagen zur Teilnahme des Betriebs an der Einzelzertifizierung</x:v>
      </x:c>
      <x:c r="G26" s="10" t="str">
        <x:v>Manuelle Dokumentation; Checklistenbearbeitung</x:v>
      </x:c>
      <x:c r="H26" s="10" t="str">
        <x:v>Betriebliche Angaben; Nachweise</x:v>
      </x:c>
      <x:c r="I26" s="10" t="str">
        <x:v>HTML; PDF; XLSX</x:v>
      </x:c>
      <x:c r="J26" s="10" t="str">
        <x:v>Checkliste; Nachweise; Zertifizierungsunterlagen</x:v>
      </x:c>
      <x:c r="K26" s="10" t="str">
        <x:v>Übermittlungsweg ist nicht einheitlich standardisiert;
wird von der jeweiligen Kontrollstelle festgelegt;
mögliche Übermittlung per E-Mail, Portal oder Einsichtnahme bei der Vor-Ort-Kontrolle.
Online-Angebot
Online-Angebot</x:v>
      </x:c>
      <x:c r="L26" s="10" t="str">
        <x:v>Jährlich; anlassbezogen</x:v>
      </x:c>
    </x:row>
    <x:row r="27" ht="64.80000305175781" hidden="0" customHeight="1">
      <x:c r="A27" s="10" t="str">
        <x:v>QZBW-/BIOZBW-Einzelzertifizierung (EZ)</x:v>
      </x:c>
      <x:c r="B27" s="10" t="str">
        <x:v>EZ-Kontrolldaten</x:v>
      </x:c>
      <x:c r="C27" s="10" t="str">
        <x:v>Qualitätszeichen Baden-Württemberg
Biozeichen Baden-Württemberg
Mitteilung der Kommission - EU-Leitlinien für eine gute Praxis bei freiwilligen Zertifizierungssystemen für landwirtschaftliche Erzeugnisse und Lebensmittel</x:v>
      </x:c>
      <x:c r="D27" s="10" t="str">
        <x:v>Kontrollstelle</x:v>
      </x:c>
      <x:c r="E27" s="10" t="str">
        <x:v>MBW</x:v>
      </x:c>
      <x:c r="F27" s="10" t="str">
        <x:v>Ergebnisse der Kontrolle und Zertifizierung im Rahmen der EZ</x:v>
      </x:c>
      <x:c r="G27" s="10" t="str">
        <x:v>Kontrolle und Dokumentation durch Kontrollstelle</x:v>
      </x:c>
      <x:c r="H27" s="10" t="str">
        <x:v>Kontrollergebnisse</x:v>
      </x:c>
      <x:c r="I27" s="10" t="str">
        <x:v>HTML; PDF; XLSX</x:v>
      </x:c>
      <x:c r="J27" s="10" t="str">
        <x:v>Kontrollbericht; Zertifikatsdaten</x:v>
      </x:c>
      <x:c r="K27" s="10" t="str">
        <x:v>Übermittlungsweg wird von MBW bzw. dem jeweiligen Programm festgelegt;
digitale Übermittlung von Kontrollbericht und Zertifikatsdaten;
konkrete technische Umsetzung ist zu bestätigen.
Online-Angebot
Online-Angebot</x:v>
      </x:c>
      <x:c r="L27" s="10" t="str">
        <x:v>Jährlich; nach Kontrolle</x:v>
      </x:c>
    </x:row>
    <x:row r="28" ht="75.5999984741211" hidden="0" customHeight="1">
      <x:c r="A28" s="10" t="str">
        <x:v>QZBW-/BIOZBW-Gruppenzertifizierung (GZ) und Qualitätsmanagementsystem (QMS)</x:v>
      </x:c>
      <x:c r="B28" s="10" t="str">
        <x:v>Teilnahme- und Mitgliedsdaten</x:v>
      </x:c>
      <x:c r="C28" s="10" t="str">
        <x:v>QZBW – Anforderungen an Erzeugergruppen, Stand 01.01.2023
QZBW – Teilnahmevereinbarung Gruppenzertifizierung, Stand 2023
BIOZBW – Programmbestimmungen, Stand 01.01.2026
Verordnung (EU) 2018/848
Delegierte Verordnung (EU) 2021/715
Durchführungsverordnung (EU) 2021/279</x:v>
      </x:c>
      <x:c r="D28" s="10" t="str">
        <x:v>Erzeugender Betrieb</x:v>
      </x:c>
      <x:c r="E28" s="10" t="str">
        <x:v>Genossenschaft / Erzeugergruppe</x:v>
      </x:c>
      <x:c r="F28" s="10" t="str">
        <x:v>Daten für Aufnahme und laufende QMS-Bewertung des Mitglieds; bei QZBW einschließlich programmspezifischer Eigenkontrollcheckliste, bei BIOZBW ohne unbelegte analoge Erzeugercheckliste</x:v>
      </x:c>
      <x:c r="G28" s="10" t="str">
        <x:v>Formular ausfüllen; vorhandene Nachweise zusammenstellen und übermitteln</x:v>
      </x:c>
      <x:c r="H28" s="10" t="str">
        <x:v>Teilnahmevereinbarung; Betriebsstammdaten; vorhandene Fachrechtsnachweise; QMS-Korrekturmeldung</x:v>
      </x:c>
      <x:c r="I28" s="10" t="str">
        <x:v>PDF; XLSX; strukturierte Datensätze</x:v>
      </x:c>
      <x:c r="J28" s="10" t="str">
        <x:v>Formular; Mitgliederakte; Nachweispaket</x:v>
      </x:c>
      <x:c r="K28" s="10" t="str">
        <x:v>Manuelle oder digitale Übermittlung an die Erzeugergruppe
MBW-Portal
MBW-Portal</x:v>
      </x:c>
      <x:c r="L28" s="10" t="str">
        <x:v>Bei Aufnahme; jährlich; anlassbezogen</x:v>
      </x:c>
    </x:row>
    <x:row r="29" ht="64.80000305175781" hidden="0" customHeight="1">
      <x:c r="A29" s="10" t="str">
        <x:v>QZBW-/BIOZBW-Gruppenzertifizierung (GZ) und Qualitätsmanagementsystem (QMS)</x:v>
      </x:c>
      <x:c r="B29" s="10" t="str">
        <x:v>QMS-Kontrollpaket</x:v>
      </x:c>
      <x:c r="C29" s="10" t="str">
        <x:v>QZBW – Anforderungen an Erzeugergruppen, Stand 01.01.2023
QZBW – Teilnahmevereinbarung Gruppenzertifizierung, Stand 2023
BIOZBW – Programmbestimmungen, Stand 01.01.2026
Verordnung (EU) 2018/848
Delegierte Verordnung (EU) 2021/715
Durchführungsverordnung (EU) 2021/279</x:v>
      </x:c>
      <x:c r="D29" s="10" t="str">
        <x:v>Genossenschaft / Erzeugergruppe</x:v>
      </x:c>
      <x:c r="E29" s="10" t="str">
        <x:v>Kontroll-/Zertifizierungsstelle</x:v>
      </x:c>
      <x:c r="F29" s="10" t="str">
        <x:v>Mitgliederverzeichnis, QMS-Verfahrensbeschreibung, Kontrollplanung, interne Kontrollnachweise, Abweichungen, Korrekturstatus und Rückverfolgbarkeitstest</x:v>
      </x:c>
      <x:c r="G29" s="10" t="str">
        <x:v>Vorhandene QMS-Unterlagen zusammenstellen, Vollständigkeit prüfen und übermitteln</x:v>
      </x:c>
      <x:c r="H29" s="10" t="str">
        <x:v>QMS-Dokumentation und Mitgliederakten</x:v>
      </x:c>
      <x:c r="I29" s="10" t="str">
        <x:v>PDF; XLSX; strukturierte Datensätze</x:v>
      </x:c>
      <x:c r="J29" s="10" t="str">
        <x:v>Kontrollpaket; Listen; Berichte; Maßnahmenstatus</x:v>
      </x:c>
      <x:c r="K29" s="10" t="str">
        <x:v>Sicherer Upload oder dokumentierte Übergabe
MBW-Portal
MBW-Portal</x:v>
      </x:c>
      <x:c r="L29" s="10" t="str">
        <x:v>Jährlich vor externer Kontrolle; anlassbezogen</x:v>
      </x:c>
    </x:row>
    <x:row r="30" ht="64.80000305175781" hidden="0" customHeight="1">
      <x:c r="A30" s="10" t="str">
        <x:v>QZBW-/BIOZBW-Gruppenzertifizierung (GZ) und Qualitätsmanagementsystem (QMS)</x:v>
      </x:c>
      <x:c r="B30" s="10" t="str">
        <x:v>QMS-Kontrollbericht und Zertifikat</x:v>
      </x:c>
      <x:c r="C30" s="10" t="str">
        <x:v>QZBW – Anforderungen an Erzeugergruppen, Stand 01.01.2023
QZBW – Teilnahmevereinbarung Gruppenzertifizierung, Stand 2023
BIOZBW – Programmbestimmungen, Stand 01.01.2026
Verordnung (EU) 2018/848
Delegierte Verordnung (EU) 2021/715
Durchführungsverordnung (EU) 2021/279</x:v>
      </x:c>
      <x:c r="D30" s="10" t="str">
        <x:v>Kontroll-/Zertifizierungsstelle</x:v>
      </x:c>
      <x:c r="E30" s="10" t="str">
        <x:v>Genossenschaft / Erzeugergruppe</x:v>
      </x:c>
      <x:c r="F30" s="10" t="str">
        <x:v>Kontrollbericht, festgestellte Abweichungen, Auflagen, Zertifizierungsentscheidung und Zertifikatsdaten</x:v>
      </x:c>
      <x:c r="G30" s="10" t="str">
        <x:v>Kontrolle dokumentieren; Bericht und Zertifikat übermitteln</x:v>
      </x:c>
      <x:c r="H30" s="10" t="str">
        <x:v>Extern erhobene Kontroll- und Entscheidungsdaten</x:v>
      </x:c>
      <x:c r="I30" s="10" t="str">
        <x:v>PDF; strukturierte Datensätze</x:v>
      </x:c>
      <x:c r="J30" s="10" t="str">
        <x:v>Kontrollbericht; Abweichungsliste; Zertifikat</x:v>
      </x:c>
      <x:c r="K30" s="10" t="str">
        <x:v>Sicherer Upload oder dokumentierte Übermittlung
MBW-Portal
MBW-Portal</x:v>
      </x:c>
      <x:c r="L30" s="10" t="str">
        <x:v>Jährlich nach externer Kontrolle; anlassbezogen</x:v>
      </x:c>
    </x:row>
    <x:row r="31" ht="54" hidden="0" customHeight="1">
      <x:c r="A31" s="10" t="str">
        <x:v>Weitere Zertifizierungsprogramme</x:v>
      </x:c>
      <x:c r="B31" s="10" t="str">
        <x:v>Zertifizierungsnachweise</x:v>
      </x:c>
      <x:c r="C31" s="10" t="str">
        <x:v>IFS Standards
ECOVIN Bundesverband Ökologischer 
KLIMAWIN</x:v>
      </x:c>
      <x:c r="D31" s="10" t="str">
        <x:v>Erzeugender Betrieb</x:v>
      </x:c>
      <x:c r="E31" s="10" t="str">
        <x:v>Kontrollstelle</x:v>
      </x:c>
      <x:c r="F31" s="10" t="str">
        <x:v>Unterlagen zur Teilnahme an weiteren Zertifizierungsprogrammen</x:v>
      </x:c>
      <x:c r="G31" s="10" t="str">
        <x:v>Programmspezifische Dokumentation</x:v>
      </x:c>
      <x:c r="H31" s="10" t="str">
        <x:v>Betriebliche Angaben; Nachweise</x:v>
      </x:c>
      <x:c r="I31" s="10" t="str">
        <x:v>HTML; PDF</x:v>
      </x:c>
      <x:c r="J31" s="10" t="str">
        <x:v>Nachweise; Auditunterlagen</x:v>
      </x:c>
      <x:c r="K31" s="10" t="str">
        <x:v>Übermittlungsweg ist nicht programmübergreifend standardisiert;
wird vom jeweiligen Programm bzw. der Kontrollstelle festgelegt;
mögliche Übermittlung per Portal, E-Mail oder Einsichtnahme beim Audit.</x:v>
      </x:c>
      <x:c r="L31" s="10" t="str">
        <x:v>Programmspezifisch</x:v>
      </x:c>
    </x:row>
    <x:row r="32" ht="54" hidden="0" customHeight="1">
      <x:c r="A32" s="10" t="str">
        <x:v>Weitere Zertifizierungsprogramme</x:v>
      </x:c>
      <x:c r="B32" s="10" t="str">
        <x:v>Ergebnisse der Kontrolle</x:v>
      </x:c>
      <x:c r="C32" s="10" t="str">
        <x:v>IFS Standards
ECOVIN Bundesverband Ökologischer Weinbau e.V.
KLIMAWIN</x:v>
      </x:c>
      <x:c r="D32" s="10" t="str">
        <x:v>Kontrollstelle</x:v>
      </x:c>
      <x:c r="E32" s="10" t="str">
        <x:v>Weitere Zeichenträger</x:v>
      </x:c>
      <x:c r="F32" s="10" t="str">
        <x:v>Daten aus Kontrollen und Audits für weitere Zertifizierungsprogramme</x:v>
      </x:c>
      <x:c r="G32" s="10" t="str">
        <x:v>Audit und Dokumentation durch Kontrollstelle</x:v>
      </x:c>
      <x:c r="H32" s="10" t="str">
        <x:v>Kontrollergebnisse</x:v>
      </x:c>
      <x:c r="I32" s="10" t="str">
        <x:v>HTML; PDF</x:v>
      </x:c>
      <x:c r="J32" s="10" t="str">
        <x:v>Auditbericht; Zertifikatsdaten</x:v>
      </x:c>
      <x:c r="K32" s="10" t="str">
        <x:v>Übermittlungsweg ist nicht programmübergreifend standardisiert;
wird vom jeweiligen Programm festgelegt;
mögliche digitale Übermittlung per Portal, Datenbank oder E-Mail.</x:v>
      </x:c>
      <x:c r="L32" s="10" t="str">
        <x:v>Programmspezifisch</x:v>
      </x:c>
    </x:row>
    <x:row r="33" ht="43.20000076293945" hidden="0" customHeight="1">
      <x:c r="A33" s="10" t="str">
        <x:v>Weitere Zertifizierungsprogramme</x:v>
      </x:c>
      <x:c r="B33" s="10" t="str">
        <x:v>Verordnung (EU) 2018/848 über ökologische/biologische Produktion</x:v>
      </x:c>
      <x:c r="C33" s="10" t="str">
        <x:v>Verordnung (EU) 2018/848 des Europäischen Parlaments und des Rates vom 30. Mai 2018 über die ökologische/biologische Produktion und die Kennzeichnung von ökologischen/biologischen Erzeugnissen sowie zur Aufhebung der Verordnung (EG) Nr. 834/2007 des Rates</x:v>
      </x:c>
      <x:c r="D33" s="10" t="str">
        <x:v>Erzeugender Betrieb; Genossenschaft</x:v>
      </x:c>
      <x:c r="E33" s="10" t="str">
        <x:v>Öko-Kontrollstelle; Regierungspräsidium</x:v>
      </x:c>
      <x:c r="F33" s="10" t="str">
        <x:v>Dokumentation ökologischer Produktion, Betriebsmittel, Warenflüsse, Zertifikate und Kontrollnachweise</x:v>
      </x:c>
      <x:c r="G33" s="10" t="str">
        <x:v>Betriebliche Dokumentation; Vorlage bei Öko-Kontrolle</x:v>
      </x:c>
      <x:c r="H33" s="10" t="str">
        <x:v>Betriebsdaten; Flächen; Betriebsmittel; Warenflüsse; Zertifikate</x:v>
      </x:c>
      <x:c r="I33" s="10" t="str">
        <x:v>HTML; PDF; XML</x:v>
      </x:c>
      <x:c r="J33" s="10" t="str">
        <x:v>Kontrollunterlagen; Nachweise; Zertifikatsdaten</x:v>
      </x:c>
      <x:c r="K33" s="10" t="str">
        <x:v>Vorlage bei Kontrollstelle; Meldungen an Aufsichtsbehörde</x:v>
      </x:c>
      <x:c r="L33" s="10" t="str">
        <x:v>Jährlich; fortlaufend; anlassbezogen</x:v>
      </x:c>
    </x:row>
    <x:row r="34" ht="54" hidden="0" customHeight="1">
      <x:c r="A34" s="10" t="str">
        <x:v>Beantragung der A.P.-Nummer und amtliche Qualitätsprüfung</x:v>
      </x:c>
      <x:c r="B34" s="10" t="str">
        <x:v>AP-Antrag</x:v>
      </x:c>
      <x:c r="C34" s="10" t="str">
        <x:v>Weingesetz
Wein-Überwachungsverordnung</x:v>
      </x:c>
      <x:c r="D34" s="10" t="str">
        <x:v>Genossenschaft</x:v>
      </x:c>
      <x:c r="E34" s="10" t="str">
        <x:v>Staatl. Prüfstelle</x:v>
      </x:c>
      <x:c r="F34" s="10" t="str">
        <x:v>Antrag und produktbezogene Daten zur amtlichen Qualitätsprüfung</x:v>
      </x:c>
      <x:c r="G34" s="10" t="str">
        <x:v>Antragstellung; Probenübermittlung</x:v>
      </x:c>
      <x:c r="H34" s="10" t="str">
        <x:v>Produktdaten; Analysedaten; Probe</x:v>
      </x:c>
      <x:c r="I34" s="10" t="str">
        <x:v>PDF</x:v>
      </x:c>
      <x:c r="J34" s="10" t="str">
        <x:v>Formular; Probe; Analysedaten</x:v>
      </x:c>
      <x:c r="K34" s="10" t="str">
        <x:v>Übermittlung über vorgesehene Formulare und Verwaltungswege;
produktbezogene Angaben schriftlich oder digital;
Weinprobe physisch an die staatliche Prüfstelle.
Online-Angebot</x:v>
      </x:c>
      <x:c r="L34" s="10" t="str">
        <x:v>Je Partie bzw. Antrag</x:v>
      </x:c>
    </x:row>
    <x:row r="35" ht="43.20000076293945" hidden="0" customHeight="1">
      <x:c r="A35" s="10" t="str">
        <x:v>Mitgliedschaft in Genossenschaft und Traubenlieferung</x:v>
      </x:c>
      <x:c r="B35" s="10" t="str">
        <x:v>Mitglieds- und Lieferdaten</x:v>
      </x:c>
      <x:c r="C35" s="10" t="str">
        <x:v>Satzung, Mitgliedschaftsordnung, Lieferordnung bzw. vertragliche Unterlagen der jeweiligen Genossenschaft</x:v>
      </x:c>
      <x:c r="D35" s="10" t="str">
        <x:v>Erzeugender Betrieb</x:v>
      </x:c>
      <x:c r="E35" s="10" t="str">
        <x:v>Genossenschaft</x:v>
      </x:c>
      <x:c r="F35" s="10" t="str">
        <x:v>Daten zur Verwaltung von Mitgliedschaft, Lieferbeziehung und Traubenlieferung</x:v>
      </x:c>
      <x:c r="G35" s="10" t="str">
        <x:v>Stammdatenerfassung; Lieferdatenerfassung</x:v>
      </x:c>
      <x:c r="H35" s="10" t="str">
        <x:v>Betriebsangaben; Lieferungen</x:v>
      </x:c>
      <x:c r="I35" s="10" t="str">
        <x:v>CSV; XLSX; PDF</x:v>
      </x:c>
      <x:c r="J35" s="10" t="str">
        <x:v>Stammdatensatz; Lieferdatensatz</x:v>
      </x:c>
      <x:c r="K35" s="10" t="str">
        <x:v>Übermittlungsweg ist nicht einheitlich standardisiert;
wird von der jeweiligen Genossenschaft festgelegt;
mögliche direkte Systemerfassung sowie schriftliche oder digitale Übermittlung.</x:v>
      </x:c>
      <x:c r="L35" s="10" t="str">
        <x:v>Fortlaufend; saisonal</x:v>
      </x:c>
    </x:row>
    <x:row r="36" ht="64.80000305175781" hidden="0" customHeight="1">
      <x:c r="A36" s="10" t="str">
        <x:v>QZBW-/BIOZBW-Einzelzertifizierung (EZ)</x:v>
      </x:c>
      <x:c r="B36" s="10" t="str">
        <x:v>EZ-Lizenzunterlagen</x:v>
      </x:c>
      <x:c r="C36" s="10" t="str">
        <x:v>Qualitätszeichen Baden-Württemberg
Biozeichen Baden-Württemberg
Mitteilung der Kommission - EU-Leitlinien für eine gute Praxis bei freiwilligen Zertifizierungssystemen für landwirtschaftliche Erzeugnisse und Lebensmittel</x:v>
      </x:c>
      <x:c r="D36" s="10" t="str">
        <x:v>Genossenschaft</x:v>
      </x:c>
      <x:c r="E36" s="10" t="str">
        <x:v>MBW</x:v>
      </x:c>
      <x:c r="F36" s="10" t="str">
        <x:v>Unterlagen der Genossenschaft zur Lizenznahme der EZ</x:v>
      </x:c>
      <x:c r="G36" s="10" t="str">
        <x:v>Antragstellung</x:v>
      </x:c>
      <x:c r="H36" s="10" t="str">
        <x:v>Lizenznehmerangaben</x:v>
      </x:c>
      <x:c r="I36" s="10" t="str">
        <x:v>HTML; PDF; XLSX</x:v>
      </x:c>
      <x:c r="J36" s="10" t="str">
        <x:v>Antrag; Unterlagen</x:v>
      </x:c>
      <x:c r="K36" s="10" t="str">
        <x:v>Übermittlungsweg wird von MBW bzw. dem zuständigen Lizenznehmer festgelegt;
mögliche Einreichung digital oder schriftlich;
konkrete technische Umsetzung ist zu bestätigen.
Online-Angebot
Online-Angebot</x:v>
      </x:c>
      <x:c r="L36" s="10" t="str">
        <x:v>Jährlich; bei Änderungen</x:v>
      </x:c>
    </x:row>
    <x:row r="37" ht="64.80000305175781" hidden="0" customHeight="1">
      <x:c r="A37" s="10" t="str">
        <x:v>QZBW-/BIOZBW-Einzelzertifizierung (EZ)</x:v>
      </x:c>
      <x:c r="B37" s="10" t="str">
        <x:v>EZ-Zertifikatsdaten</x:v>
      </x:c>
      <x:c r="C37" s="10" t="str">
        <x:v>Qualitätszeichen Baden-Württemberg
Biozeichen Baden-Württemberg
Mitteilung der Kommission - EU-Leitlinien für eine gute Praxis bei freiwilligen Zertifizierungssystemen für landwirtschaftliche Erzeugnisse und Lebensmittel</x:v>
      </x:c>
      <x:c r="D37" s="10" t="str">
        <x:v>Kontrollstelle</x:v>
      </x:c>
      <x:c r="E37" s="10" t="str">
        <x:v>MBW</x:v>
      </x:c>
      <x:c r="F37" s="10" t="str">
        <x:v>Kontroll- und Zertifikatsdaten als Grundlage der Lizenznahme</x:v>
      </x:c>
      <x:c r="G37" s="10" t="str">
        <x:v>Kontrolldokumentation</x:v>
      </x:c>
      <x:c r="H37" s="10" t="str">
        <x:v>Kontrollergebnisse</x:v>
      </x:c>
      <x:c r="I37" s="10" t="str">
        <x:v>HTML; PDF; XLSX</x:v>
      </x:c>
      <x:c r="J37" s="10" t="str">
        <x:v>Kontrollbericht; Zertifikatsdaten</x:v>
      </x:c>
      <x:c r="K37" s="10" t="str">
        <x:v>Übermittlungsweg wird von MBW bzw. dem jeweiligen Programm festgelegt;
digitale Übermittlung von Kontrollbericht und Zertifikatsdaten;
konkrete technische Umsetzung ist zu bestätigen.
Online-Angebot
Online-Angebot</x:v>
      </x:c>
      <x:c r="L37" s="10" t="str">
        <x:v>Jährlich; nach Kontrolle</x:v>
      </x:c>
    </x:row>
    <x:row r="38" ht="64.80000305175781" hidden="0" customHeight="1">
      <x:c r="A38" s="10" t="str">
        <x:v>QZBW-/BIOZBW-Gruppenzertifizierung (GZ) und Qualitätsmanagementsystem (QMS)</x:v>
      </x:c>
      <x:c r="B38" s="10" t="str">
        <x:v>Zeichennutzungsvertrag der Erzeugergruppe</x:v>
      </x:c>
      <x:c r="C38" s="10" t="str">
        <x:v>QZBW – Anforderungen an Erzeugergruppen, Stand 01.01.2023
QZBW – Teilnahmevereinbarung Gruppenzertifizierung, Stand 2023
BIOZBW – Programmbestimmungen, Stand 01.01.2026
Verordnung (EU) 2018/848
Delegierte Verordnung (EU) 2021/715
Durchführungsverordnung (EU) 2021/279</x:v>
      </x:c>
      <x:c r="D38" s="10" t="str">
        <x:v>Genossenschaft / Erzeugergruppe</x:v>
      </x:c>
      <x:c r="E38" s="10" t="str">
        <x:v>Externer Lizenznehmer</x:v>
      </x:c>
      <x:c r="F38" s="10" t="str">
        <x:v>Angaben zur Genossenschaft, Zeichennutzungsvertrag und erforderliche Programmanmeldung; keine separate Lizenznahme der einzelnen Gruppenmitglieder</x:v>
      </x:c>
      <x:c r="G38" s="10" t="str">
        <x:v>Vertrag ausfüllen, unterzeichnen und an den externen Lizenznehmer übermitteln</x:v>
      </x:c>
      <x:c r="H38" s="10" t="str">
        <x:v>Vertrags- und Stammdaten der Genossenschaft</x:v>
      </x:c>
      <x:c r="I38" s="10" t="str">
        <x:v>PDF; strukturierte Datensätze</x:v>
      </x:c>
      <x:c r="J38" s="10" t="str">
        <x:v>Zeichennutzungsvertrag; Programmanmeldung</x:v>
      </x:c>
      <x:c r="K38" s="10" t="str">
        <x:v>Manuelle oder digitale Übermittlung an externen Lizenznehmer
MBW-Portal
MBW-Portal</x:v>
      </x:c>
      <x:c r="L38" s="10" t="str">
        <x:v>Einmalig; bei Änderungen</x:v>
      </x:c>
    </x:row>
    <x:row r="39" ht="32.400001525878906" hidden="0" customHeight="1">
      <x:c r="A39" s="10" t="str">
        <x:v>QZBW-/BIOZBW-Gruppenzertifizierung (GZ) und Qualitätsmanagementsystem (QMS)</x:v>
      </x:c>
      <x:c r="B39" s="10" t="str">
        <x:v>Programmmeldung durch Lizenznehmer</x:v>
      </x:c>
      <x:c r="C39" s="10" t="str">
        <x:v>BIOZBW – Programmbestimmungen, Stand 01.01.2026</x:v>
      </x:c>
      <x:c r="D39" s="10" t="str">
        <x:v>Externer Lizenznehmer</x:v>
      </x:c>
      <x:c r="E39" s="10" t="str">
        <x:v>MBW</x:v>
      </x:c>
      <x:c r="F39" s="10" t="str">
        <x:v>Geprüfte Vertrags-, Stamm-, Teilnahme- und Produktdaten der Genossenschaft als Zeichennutzerin</x:v>
      </x:c>
      <x:c r="G39" s="10" t="str">
        <x:v>Vertrag prüfen und gegenzeichnen; Programmanmeldung und jährlichen Bericht übermitteln</x:v>
      </x:c>
      <x:c r="H39" s="10" t="str">
        <x:v>Zeichennutzungsvertrag; Teilnahmeerklärungen; Produktaufstellung</x:v>
      </x:c>
      <x:c r="I39" s="10" t="str">
        <x:v>PDF; XLSX; strukturierte Datensätze</x:v>
      </x:c>
      <x:c r="J39" s="10" t="str">
        <x:v>Anmeldung; Vertragsdatensatz; Jahresbericht</x:v>
      </x:c>
      <x:c r="K39" s="10" t="str">
        <x:v>Digitale oder dokumentierte Übermittlung an MBW
MBW-Portal</x:v>
      </x:c>
      <x:c r="L39" s="10" t="str">
        <x:v>Bei Aufnahme; bei Änderungen; jährlich</x:v>
      </x:c>
    </x:row>
    <x:row r="40" ht="64.80000305175781" hidden="0" customHeight="1">
      <x:c r="A40" s="10" t="str">
        <x:v>QZBW-/BIOZBW-Zeichennutzung</x:v>
      </x:c>
      <x:c r="B40" s="10" t="str">
        <x:v>Zeichennutzungsunterlagen</x:v>
      </x:c>
      <x:c r="C40" s="10" t="str">
        <x:v>Qualitätszeichen Baden-Württemberg
Biozeichen Baden-Württemberg
Mitteilung der Kommission - EU-Leitlinien für eine gute Praxis bei freiwilligen Zertifizierungssystemen für landwirtschaftliche Erzeugnisse und Lebensmittel</x:v>
      </x:c>
      <x:c r="D40" s="10" t="str">
        <x:v>Genossenschaft</x:v>
      </x:c>
      <x:c r="E40" s="10" t="str">
        <x:v>MBW</x:v>
      </x:c>
      <x:c r="F40" s="10" t="str">
        <x:v>Unterlagen zur Nutzung des QZBW-/BIOZBW-Zeichens</x:v>
      </x:c>
      <x:c r="G40" s="10" t="str">
        <x:v>Antragstellung; Produktmeldung</x:v>
      </x:c>
      <x:c r="H40" s="10" t="str">
        <x:v>Produktdaten; Zeichennutzungsnachweise</x:v>
      </x:c>
      <x:c r="I40" s="10" t="str">
        <x:v>HTML; PDF; XLSX</x:v>
      </x:c>
      <x:c r="J40" s="10" t="str">
        <x:v>Vertrag; Produktliste; Nachweise</x:v>
      </x:c>
      <x:c r="K40" s="10" t="str">
        <x:v>Übermittlungsweg wird vom zuständigen Lizenznehmer bzw. MBW festgelegt;
mögliche Einreichung digital oder schriftlich;
übermittelt werden Vertrag, Produktaufstellung und Nachweise.
Online-Angebot
Online-Angebot</x:v>
      </x:c>
      <x:c r="L40" s="10" t="str">
        <x:v>Bei Antrag; bei Produktänderungen</x:v>
      </x:c>
    </x:row>
    <x:row r="41" ht="32.400001525878906" hidden="0" customHeight="1">
      <x:c r="A41" s="10" t="str">
        <x:v>QZBW-/BIOZBW-Zeichennutzung</x:v>
      </x:c>
      <x:c r="B41" s="10" t="str">
        <x:v>Zeichennutzungskontrolle</x:v>
      </x:c>
      <x:c r="C41" s="10" t="str">
        <x:v>BIOZBW – Programmbestimmungen, Stand 01.01.2026</x:v>
      </x:c>
      <x:c r="D41" s="10" t="str">
        <x:v>Genossenschaft / Zeichennutzerin</x:v>
      </x:c>
      <x:c r="E41" s="10" t="str">
        <x:v>Kontrollstelle</x:v>
      </x:c>
      <x:c r="F41" s="10" t="str">
        <x:v>Unterlagen zur Prüfung der korrekten Zeichennutzung einschließlich Eigenkontrolle, Produkte und dokumentierter Qualitätsprüfung</x:v>
      </x:c>
      <x:c r="G41" s="10" t="str">
        <x:v>Checkliste ausfüllen; Produktaufstellung aktualisieren; Qualitätsnachweis zusammenstellen und vorlegen</x:v>
      </x:c>
      <x:c r="H41" s="10" t="str">
        <x:v>Eigenkontrollcheckliste; Produktliste; Prüf-/Untersuchungsnachweis</x:v>
      </x:c>
      <x:c r="I41" s="10" t="str">
        <x:v>PDF; XLSX; strukturierte Datensätze</x:v>
      </x:c>
      <x:c r="J41" s="10" t="str">
        <x:v>Checkliste; Produktaufstellung; Qualitätsnachweis</x:v>
      </x:c>
      <x:c r="K41" s="10" t="str">
        <x:v>Sicherer Upload oder dokumentierte Vorlage
MBW-Portal</x:v>
      </x:c>
      <x:c r="L41" s="10" t="str">
        <x:v>Jährlich; bei Produktänderungen; anlassbezogen</x:v>
      </x:c>
    </x:row>
    <x:row r="42" ht="64.80000305175781" hidden="0" customHeight="1">
      <x:c r="A42" s="10" t="str">
        <x:v>QZBW-/BIOZBW-Gruppenzertifizierung (GZ) und Qualitätsmanagementsystem (QMS)</x:v>
      </x:c>
      <x:c r="B42" s="10" t="str">
        <x:v>Betriebsnachweis- und Korrekturdaten</x:v>
      </x:c>
      <x:c r="C42" s="10" t="str">
        <x:v>QZBW – Anforderungen an Erzeugergruppen, Stand 01.01.2023
QZBW – Teilnahmevereinbarung Gruppenzertifizierung, Stand 2023
BIOZBW – Programmbestimmungen, Stand 01.01.2026
Verordnung (EU) 2018/848
Delegierte Verordnung (EU) 2021/715
Durchführungsverordnung (EU) 2021/279</x:v>
      </x:c>
      <x:c r="D42" s="10" t="str">
        <x:v>Erzeugender Betrieb</x:v>
      </x:c>
      <x:c r="E42" s="10" t="str">
        <x:v>Genossenschaft / Erzeugergruppe</x:v>
      </x:c>
      <x:c r="F42" s="10" t="str">
        <x:v>Für die QMS-Kontrolle bereitgestellte Nachweise und dokumentierte Meldung zur Umsetzung festgelegter Korrekturmaßnahmen</x:v>
      </x:c>
      <x:c r="G42" s="10" t="str">
        <x:v>Vorhandene Nachweise zusammenstellen und übermitteln; Korrekturstatus melden</x:v>
      </x:c>
      <x:c r="H42" s="10" t="str">
        <x:v>Betriebsaufzeichnungen; Eigenkontrolle nur soweit programmspezifisch belegt; Maßnahmenstatus</x:v>
      </x:c>
      <x:c r="I42" s="10" t="str">
        <x:v>PDF; XLSX; strukturierte Datensätze</x:v>
      </x:c>
      <x:c r="J42" s="10" t="str">
        <x:v>Nachweispaket; Statusmeldung</x:v>
      </x:c>
      <x:c r="K42" s="10" t="str">
        <x:v>Manuelle oder digitale Übermittlung an die Erzeugergruppe
MBW-Portal</x:v>
      </x:c>
      <x:c r="L42" s="10" t="str">
        <x:v>Jährlich; anlassbezogen</x:v>
      </x:c>
    </x:row>
    <x:row r="43" ht="64.80000305175781" hidden="0" customHeight="1">
      <x:c r="A43" s="10" t="str">
        <x:v>QZBW-/BIOZBW-Gruppenzertifizierung (GZ) und Qualitätsmanagementsystem (QMS)</x:v>
      </x:c>
      <x:c r="B43" s="10" t="str">
        <x:v>QMS-Dokumentation</x:v>
      </x:c>
      <x:c r="C43" s="10" t="str">
        <x:v>QZBW – Anforderungen an Erzeugergruppen, Stand 01.01.2023
QZBW – Teilnahmevereinbarung Gruppenzertifizierung, Stand 2023
BIOZBW – Programmbestimmungen, Stand 01.01.2026
Verordnung (EU) 2018/848
Delegierte Verordnung (EU) 2021/715
Durchführungsverordnung (EU) 2021/279</x:v>
      </x:c>
      <x:c r="D43" s="10" t="str">
        <x:v>Genossenschaft / Erzeugergruppe</x:v>
      </x:c>
      <x:c r="E43" s="10" t="str">
        <x:v>QMS-Verantwortliche Person / zentrale QMS-Ablage</x:v>
      </x:c>
      <x:c r="F43" s="10" t="str">
        <x:v>Gelenkte QMS-Unterlagen für die Sicherstellung, dass alle Mitglieder die Standardvorgaben erfüllen</x:v>
      </x:c>
      <x:c r="G43" s="10" t="str">
        <x:v>Daten erfassen, prüfen, aktualisieren, freigeben und archivieren</x:v>
      </x:c>
      <x:c r="H43" s="10" t="str">
        <x:v>Mitglieder- und Statusdaten; Qualifikationen; Kontrollplan; interne Kontrollberichte; Abweichungen; Maßnahmen; Rückverfolgbarkeitstest</x:v>
      </x:c>
      <x:c r="I43" s="10" t="str">
        <x:v>PDF; XLSX; strukturierte Datensätze</x:v>
      </x:c>
      <x:c r="J43" s="10" t="str">
        <x:v>Register; Pläne; Berichte; Freigaben; Maßnahmenstatus</x:v>
      </x:c>
      <x:c r="K43" s="10" t="str">
        <x:v>Interne digitale Verarbeitung und Ablage</x:v>
      </x:c>
      <x:c r="L43" s="10" t="str">
        <x:v>Laufend; jährlich; anlassbezogen</x:v>
      </x:c>
    </x:row>
    <x:row r="44" ht="54" hidden="0" customHeight="1">
      <x:c r="A44" s="10" t="str">
        <x:v>QZBW-/BIOZBW-Zeichennutzung</x:v>
      </x:c>
      <x:c r="B44" s="10" t="str">
        <x:v>Betriebs- und Produktdaten Zeichennutzung</x:v>
      </x:c>
      <x:c r="C44" s="10" t="str">
        <x:v>Qualitätszeichen Baden-Württemberg
Biozeichen Baden-Württemberg
Mitteilung der Kommission - EU-Leitlinien für eine gute Praxis bei freiwilligen Zertifizierungssystemen für landwirtschaftliche Erzeugnisse und Lebensmittel</x:v>
      </x:c>
      <x:c r="D44" s="10" t="str">
        <x:v>Erzeugender Betrieb</x:v>
      </x:c>
      <x:c r="E44" s="10" t="str">
        <x:v>Weitere Erzeugerorganisation</x:v>
      </x:c>
      <x:c r="F44" s="10" t="str">
        <x:v>Daten und Nachweise, die eine weitere Erzeugerorganisation bündelt</x:v>
      </x:c>
      <x:c r="G44" s="10" t="str">
        <x:v>Übermittlung von Betriebs- und Produktdaten</x:v>
      </x:c>
      <x:c r="H44" s="10" t="str">
        <x:v>Betriebsdaten; Produktdaten; Nachweise</x:v>
      </x:c>
      <x:c r="I44" s="10" t="str">
        <x:v>HTML; PDF; XLSX</x:v>
      </x:c>
      <x:c r="J44" s="10" t="str">
        <x:v>Strukturierte Betriebs- und Produktstammdaten; Produktliste; Nachweisdokumente</x:v>
      </x:c>
      <x:c r="K44" s="10" t="str">
        <x:v>Übermittlungsweg ist nicht einheitlich standardisiert;
wird von der jeweiligen Erzeugerorganisation festgelegt;
mögliche Übermittlung per Formular, E-Mail, Datei oder direkter Systemerfassung.</x:v>
      </x:c>
      <x:c r="L44" s="10" t="str">
        <x:v>Bei Antrag; bei Änderungen</x:v>
      </x:c>
    </x:row>
    <x:row r="45" ht="54" hidden="0" customHeight="1">
      <x:c r="A45" s="10" t="str">
        <x:v>QZBW-/BIOZBW-Zeichennutzung</x:v>
      </x:c>
      <x:c r="B45" s="10" t="str">
        <x:v>Gebündelte Zeichennutzungsunterlagen</x:v>
      </x:c>
      <x:c r="C45" s="10" t="str">
        <x:v>Qualitätszeichen Baden-Württemberg
Biozeichen Baden-Württemberg
Mitteilung der Kommission - EU-Leitlinien für eine gute Praxis bei freiwilligen Zertifizierungssystemen für landwirtschaftliche Erzeugnisse und Lebensmittel</x:v>
      </x:c>
      <x:c r="D45" s="10" t="str">
        <x:v>Weitere Erzeugerorganisation</x:v>
      </x:c>
      <x:c r="E45" s="10" t="str">
        <x:v>MBW bzw. Zeichenträger</x:v>
      </x:c>
      <x:c r="F45" s="10" t="str">
        <x:v>Gebündelte Unterlagen zur Lizenznahme der Zeichennutzung</x:v>
      </x:c>
      <x:c r="G45" s="10" t="str">
        <x:v>Antragstellung; Bündelung von Betriebsdaten</x:v>
      </x:c>
      <x:c r="H45" s="10" t="str">
        <x:v>Betriebs- und Produktdaten der teilnehmenden Betriebe</x:v>
      </x:c>
      <x:c r="I45" s="10" t="str">
        <x:v>HTML; PDF; XLSX</x:v>
      </x:c>
      <x:c r="J45" s="10" t="str">
        <x:v>Antrag; Vertrag; Liste; Nachweise</x:v>
      </x:c>
      <x:c r="K45" s="10" t="str">
        <x:v>Übermittlungsweg wird vom Zeichenträger bzw. Lizenznehmer festgelegt;
mögliche gebündelte Einreichung digital oder schriftlich.
Formulare Online bei WBI Freiburg</x:v>
      </x:c>
      <x:c r="L45" s="10" t="str">
        <x:v>Bei Antrag; bei Änderungen</x:v>
      </x:c>
    </x:row>
    <x:row r="46" ht="54" hidden="0" customHeight="1">
      <x:c r="A46" s="10" t="str">
        <x:v>Beantragung der A.P.-Nummer und amtliche Qualitätsprüfung</x:v>
      </x:c>
      <x:c r="B46" s="10" t="str">
        <x:v>AP-Prüfunterlagen</x:v>
      </x:c>
      <x:c r="C46" s="10" t="str">
        <x:v>Weingesetz
Wein-Überwachungsverordnung</x:v>
      </x:c>
      <x:c r="D46" s="10" t="str">
        <x:v>Genossenschaft</x:v>
      </x:c>
      <x:c r="E46" s="10" t="str">
        <x:v>Staatl. Prüfstelle</x:v>
      </x:c>
      <x:c r="F46" s="10" t="str">
        <x:v>Antrag, Probe und produktbezogene Daten zur amtlichen Qualitätsprüfung</x:v>
      </x:c>
      <x:c r="G46" s="10" t="str">
        <x:v>Antragstellung; Probenübermittlung</x:v>
      </x:c>
      <x:c r="H46" s="10" t="str">
        <x:v>Produktdaten; Analysedaten; Probe</x:v>
      </x:c>
      <x:c r="I46" s="10" t="str">
        <x:v>PDF</x:v>
      </x:c>
      <x:c r="J46" s="10" t="str">
        <x:v>Formular; Probe; Analysedaten</x:v>
      </x:c>
      <x:c r="K46" s="10" t="str">
        <x:v>Übermittlung über vorgesehene Formulare und Verwaltungswege;
produktbezogene Angaben schriftlich oder digital;
Weinprobe physisch an die staatliche Prüfstelle.
Formulare Online bei WBI Freiburg</x:v>
      </x:c>
      <x:c r="L46" s="10" t="str">
        <x:v>Je Partie bzw. Antrag</x:v>
      </x:c>
    </x:row>
    <x:row r="47" ht="43.20000076293945" hidden="0" customHeight="1">
      <x:c r="A47" s="10" t="str">
        <x:v>Beantragung der A.P.-Nummer und amtliche Qualitätsprüfung</x:v>
      </x:c>
      <x:c r="B47" s="10" t="str">
        <x:v>AP-Prüfergebnis</x:v>
      </x:c>
      <x:c r="C47" s="10" t="str">
        <x:v>Weingesetz
Wein-Überwachungsverordnung</x:v>
      </x:c>
      <x:c r="D47" s="10" t="str">
        <x:v>Staatl. Prüfstelle</x:v>
      </x:c>
      <x:c r="E47" s="10" t="str">
        <x:v>Genossenschaft</x:v>
      </x:c>
      <x:c r="F47" s="10" t="str">
        <x:v>Prüfergebnis bzw. Entscheidung zur Amtlichen Prüfungsnummer</x:v>
      </x:c>
      <x:c r="G47" s="10" t="str">
        <x:v>Prüfung und Ergebnisdokumentation</x:v>
      </x:c>
      <x:c r="H47" s="10" t="str">
        <x:v>Prüfergebnis</x:v>
      </x:c>
      <x:c r="I47" s="10" t="str">
        <x:v>PDF</x:v>
      </x:c>
      <x:c r="J47" s="10" t="str">
        <x:v>Prüfbericht; Bescheid</x:v>
      </x:c>
      <x:c r="K47" s="10" t="str">
        <x:v>Übermittlungsweg richtet sich nach dem zuständigen Prüfverfahren;
mögliche Übermittlung digital oder schriftlich;
übermittelt werden Prüfergebnis bzw. Bescheid.</x:v>
      </x:c>
      <x:c r="L47" s="10" t="str">
        <x:v>Je Antrag</x:v>
      </x:c>
    </x:row>
    <x:row r="48" ht="54" hidden="0" customHeight="1">
      <x:c r="A48" s="10" t="str">
        <x:v>QZBW-/BIOZBW-Einzelzertifizierung (EZ)</x:v>
      </x:c>
      <x:c r="B48" s="10" t="str">
        <x:v>EZ-Kontrollunterlagen</x:v>
      </x:c>
      <x:c r="C48" s="10" t="str">
        <x:v>Qualitätszeichen Baden-Württemberg
Biozeichen Baden-Württemberg
Mitteilung der Kommission - EU-Leitlinien für eine gute Praxis bei freiwilligen Zertifizierungssystemen für landwirtschaftliche Erzeugnisse und Lebensmittel</x:v>
      </x:c>
      <x:c r="D48" s="10" t="str">
        <x:v>Erzeugender Betrieb</x:v>
      </x:c>
      <x:c r="E48" s="10" t="str">
        <x:v>Kontrollstelle</x:v>
      </x:c>
      <x:c r="F48" s="10" t="str">
        <x:v>Unterlagen, die der Kontrollstelle für die EZ-Kontrolle vorgelegt werden</x:v>
      </x:c>
      <x:c r="G48" s="10" t="str">
        <x:v>Eigenkontrolle; Vorlage von Nachweisen</x:v>
      </x:c>
      <x:c r="H48" s="10" t="str">
        <x:v>Betriebliche Angaben; Nachweise</x:v>
      </x:c>
      <x:c r="I48" s="10" t="str">
        <x:v>HTML; PDF; XLSX</x:v>
      </x:c>
      <x:c r="J48" s="10" t="str">
        <x:v>Checkliste; Nachweise</x:v>
      </x:c>
      <x:c r="K48" s="10" t="str">
        <x:v>Übermittlungsweg wird von der jeweiligen Kontrollstelle festgelegt;
mögliche Bereitstellung digital oder schriftlich sowie Einsichtnahme bei der Vor-Ort-Kontrolle.</x:v>
      </x:c>
      <x:c r="L48" s="10" t="str">
        <x:v>Jährlich; anlassbezogen</x:v>
      </x:c>
    </x:row>
    <x:row r="49" ht="64.80000305175781" hidden="0" customHeight="1">
      <x:c r="A49" s="10" t="str">
        <x:v>QZBW-/BIOZBW-Einzelzertifizierung (EZ)</x:v>
      </x:c>
      <x:c r="B49" s="10" t="str">
        <x:v>EZ-Kontrollbericht</x:v>
      </x:c>
      <x:c r="C49" s="10" t="str">
        <x:v>Qualitätszeichen Baden-Württemberg
Biozeichen Baden-Württemberg
Mitteilung der Kommission - EU-Leitlinien für eine gute Praxis bei freiwilligen Zertifizierungssystemen für landwirtschaftliche Erzeugnisse und Lebensmittel</x:v>
      </x:c>
      <x:c r="D49" s="10" t="str">
        <x:v>Kontrollstelle</x:v>
      </x:c>
      <x:c r="E49" s="10" t="str">
        <x:v>MBW</x:v>
      </x:c>
      <x:c r="F49" s="10" t="str">
        <x:v>Kontrollergebnisse, Abweichungen, Maßnahmen und Zertifikatsdaten zur EZ</x:v>
      </x:c>
      <x:c r="G49" s="10" t="str">
        <x:v>Kontrolle und Berichtserstellung</x:v>
      </x:c>
      <x:c r="H49" s="10" t="str">
        <x:v>Kontrollergebnisse</x:v>
      </x:c>
      <x:c r="I49" s="10" t="str">
        <x:v>HTML; PDF; XLSX</x:v>
      </x:c>
      <x:c r="J49" s="10" t="str">
        <x:v>Kontrollbericht; Zertifikatsdaten</x:v>
      </x:c>
      <x:c r="K49" s="10" t="str">
        <x:v>Übermittlungsweg wird von MBW bzw. dem jeweiligen Programm festgelegt;
digitale Übermittlung von Kontrollbericht, Maßnahmen und Zertifikatsdaten;
konkrete technische Umsetzung ist zu bestätigen.
MBW-Portal</x:v>
      </x:c>
      <x:c r="L49" s="10" t="str">
        <x:v>Jährlich; nach Kontrolle</x:v>
      </x:c>
    </x:row>
    <x:row r="50" ht="64.80000305175781" hidden="0" customHeight="1">
      <x:c r="A50" s="10" t="str">
        <x:v>QZBW-/BIOZBW-Gruppenzertifizierung (GZ) und Qualitätsmanagementsystem (QMS)</x:v>
      </x:c>
      <x:c r="B50" s="10" t="str">
        <x:v>QMS-Kontrollunterlagen</x:v>
      </x:c>
      <x:c r="C50" s="10" t="str">
        <x:v>QZBW – Anforderungen an Erzeugergruppen, Stand 01.01.2023
QZBW – Teilnahmevereinbarung Gruppenzertifizierung, Stand 2023
BIOZBW – Programmbestimmungen, Stand 01.01.2026
Verordnung (EU) 2018/848
Delegierte Verordnung (EU) 2021/715
Durchführungsverordnung (EU) 2021/279</x:v>
      </x:c>
      <x:c r="D50" s="10" t="str">
        <x:v>Genossenschaft / Erzeugergruppe</x:v>
      </x:c>
      <x:c r="E50" s="10" t="str">
        <x:v>Kontroll-/Zertifizierungsstelle</x:v>
      </x:c>
      <x:c r="F50" s="10" t="str">
        <x:v>QMS-Kontrollpaket einschließlich Mitgliederregister, interner Kontrollen, Abweichungen, Korrekturstatus und Rückverfolgbarkeitstest</x:v>
      </x:c>
      <x:c r="G50" s="10" t="str">
        <x:v>Unterlagen bereitstellen; Vollständigkeit und Zugriff sicherstellen</x:v>
      </x:c>
      <x:c r="H50" s="10" t="str">
        <x:v>QMS-Dokumentation</x:v>
      </x:c>
      <x:c r="I50" s="10" t="str">
        <x:v>PDF; XLSX; strukturierte Datensätze</x:v>
      </x:c>
      <x:c r="J50" s="10" t="str">
        <x:v>Kontrollpaket; Stichprobenliste; Nachweise</x:v>
      </x:c>
      <x:c r="K50" s="10" t="str">
        <x:v>Übermittlungsweg wird von der jeweiligen Kontrollstelle festgelegt;
mögliche Bereitstellung digital oder schriftlich sowie Einsichtnahme bei der Vor-Ort-Kontrolle.</x:v>
      </x:c>
      <x:c r="L50" s="10" t="str">
        <x:v>Jährlich; anlassbezogen</x:v>
      </x:c>
    </x:row>
    <x:row r="51" ht="64.80000305175781" hidden="0" customHeight="1">
      <x:c r="A51" s="10" t="str">
        <x:v>QZBW-/BIOZBW-Gruppenzertifizierung (GZ) und Qualitätsmanagementsystem (QMS)</x:v>
      </x:c>
      <x:c r="B51" s="10" t="str">
        <x:v>QMS-Kontrollergebnis</x:v>
      </x:c>
      <x:c r="C51" s="10" t="str">
        <x:v>QZBW – Anforderungen an Erzeugergruppen, Stand 01.01.2023
QZBW – Teilnahmevereinbarung Gruppenzertifizierung, Stand 2023
BIOZBW – Programmbestimmungen, Stand 01.01.2026
Verordnung (EU) 2018/848
Delegierte Verordnung (EU) 2021/715
Durchführungsverordnung (EU) 2021/279</x:v>
      </x:c>
      <x:c r="D51" s="10" t="str">
        <x:v>Kontroll-/Zertifizierungsstelle</x:v>
      </x:c>
      <x:c r="E51" s="10" t="str">
        <x:v>Genossenschaft / Erzeugergruppe</x:v>
      </x:c>
      <x:c r="F51" s="10" t="str">
        <x:v>Ergebnis der externen Prüfung des QMS und der Stichprobe von Mitgliedern</x:v>
      </x:c>
      <x:c r="G51" s="10" t="str">
        <x:v>Prüfergebnis dokumentieren, Entscheidung treffen und übermitteln</x:v>
      </x:c>
      <x:c r="H51" s="10" t="str">
        <x:v>Externe Kontroll- und Entscheidungsdaten</x:v>
      </x:c>
      <x:c r="I51" s="10" t="str">
        <x:v>PDF; strukturierte Datensätze</x:v>
      </x:c>
      <x:c r="J51" s="10" t="str">
        <x:v>Kontrollbericht; Abweichungsliste; Zertifikat</x:v>
      </x:c>
      <x:c r="K51" s="10" t="str">
        <x:v>Übermittlungsweg wird von der jeweiligen Kontrollstelle festgelegt;
mögliche Bereitstellung digital oder schriftlich.</x:v>
      </x:c>
      <x:c r="L51" s="10" t="str">
        <x:v>Jährlich nach Kontrolle; anlassbezogen</x:v>
      </x:c>
    </x:row>
    <x:row r="52" ht="54" hidden="0" customHeight="1">
      <x:c r="A52" s="10" t="str">
        <x:v>QZBW-/BIOZBW-Zeichennutzung</x:v>
      </x:c>
      <x:c r="B52" s="10" t="str">
        <x:v>Zeichennutzungsnachweise</x:v>
      </x:c>
      <x:c r="C52" s="10" t="str">
        <x:v>Qualitätszeichen Baden-Württemberg
Biozeichen Baden-Württemberg
Mitteilung der Kommission - EU-Leitlinien für eine gute Praxis bei freiwilligen Zertifizierungssystemen für landwirtschaftliche Erzeugnisse und Lebensmittel</x:v>
      </x:c>
      <x:c r="D52" s="10" t="str">
        <x:v>Genossenschaft bzw. weitere Erzeugerorganisation</x:v>
      </x:c>
      <x:c r="E52" s="10" t="str">
        <x:v>Kontrollstelle</x:v>
      </x:c>
      <x:c r="F52" s="10" t="str">
        <x:v>Produkt- und Nachweisdaten zur Prüfung der Zeichennutzung</x:v>
      </x:c>
      <x:c r="G52" s="10" t="str">
        <x:v>Eigenkontrolle; Produktdokumentation</x:v>
      </x:c>
      <x:c r="H52" s="10" t="str">
        <x:v>Produktdaten; Zeichennutzungsnachweise</x:v>
      </x:c>
      <x:c r="I52" s="10" t="str">
        <x:v>HTML; PDF; XLSX</x:v>
      </x:c>
      <x:c r="J52" s="10" t="str">
        <x:v>Produktliste; Checkliste; Nachweise</x:v>
      </x:c>
      <x:c r="K52" s="10" t="str">
        <x:v>Übermittlungsweg wird von der jeweiligen Kontrollstelle festgelegt;
mögliche Bereitstellung digital oder schriftlich sowie Einsichtnahme bei der Kontrolle.</x:v>
      </x:c>
      <x:c r="L52" s="10" t="str">
        <x:v>Jährlich; anlassbezogen</x:v>
      </x:c>
    </x:row>
    <x:row r="53" ht="21.600000381469727" hidden="0" customHeight="1">
      <x:c r="A53" s="10" t="str">
        <x:v>QZBW-/BIOZBW-Zeichennutzung</x:v>
      </x:c>
      <x:c r="B53" s="10" t="str">
        <x:v>Zeichennutzungs-Kontroll- und Meldedaten</x:v>
      </x:c>
      <x:c r="C53" s="10" t="str">
        <x:v>BIOZBW – Programmbestimmungen, Stand 01.01.2026</x:v>
      </x:c>
      <x:c r="D53" s="10" t="str">
        <x:v>Kontrollstelle</x:v>
      </x:c>
      <x:c r="E53" s="10" t="str">
        <x:v>MBW</x:v>
      </x:c>
      <x:c r="F53" s="10" t="str">
        <x:v>Ergebnisse der BIOZBW-Kontrollen sowie zusammengefasste Kontroll- und Zertifizierungsdaten</x:v>
      </x:c>
      <x:c r="G53" s="10" t="str">
        <x:v>Kontrolle dokumentieren; Ergebnisse und Übersichten an MBW melden</x:v>
      </x:c>
      <x:c r="H53" s="10" t="str">
        <x:v>Kontrollergebnisse; Zertifikats- und Statusdaten</x:v>
      </x:c>
      <x:c r="I53" s="10" t="str">
        <x:v>PDF; XLSX; strukturierte Datensätze</x:v>
      </x:c>
      <x:c r="J53" s="10" t="str">
        <x:v>Kontrollbericht; Ergebnismeldung; Vierteljahresübersicht</x:v>
      </x:c>
      <x:c r="K53" s="10" t="str">
        <x:v>Digitale oder dokumentierte Übermittlung an MBW</x:v>
      </x:c>
      <x:c r="L53" s="10" t="str">
        <x:v>Nach Kontrolle; jährlich; vierteljährlich</x:v>
      </x:c>
    </x:row>
    <x:row r="54" ht="54" hidden="0" customHeight="1">
      <x:c r="A54" s="10" t="str">
        <x:v>Weitere Zertifizierungsprogramme</x:v>
      </x:c>
      <x:c r="B54" s="10" t="str">
        <x:v>Auditnachweise weitere Zertifizierungen</x:v>
      </x:c>
      <x:c r="C54" s="10" t="str">
        <x:v>IFS Standards
ECOVIN Bundesverband Ökologischer Weinbau e.V.
KLIMAWIN</x:v>
      </x:c>
      <x:c r="D54" s="10" t="str">
        <x:v>Erzeugender Betrieb bzw. Genossenschaft</x:v>
      </x:c>
      <x:c r="E54" s="10" t="str">
        <x:v>Kontrollstelle</x:v>
      </x:c>
      <x:c r="F54" s="10" t="str">
        <x:v>Nachweise zur Kontrolle weiterer Zertifizierungsprogramme</x:v>
      </x:c>
      <x:c r="G54" s="10" t="str">
        <x:v>Dokumentation und Vorlage bei Audit</x:v>
      </x:c>
      <x:c r="H54" s="10" t="str">
        <x:v>Betriebliche Angaben; Programmnachweise</x:v>
      </x:c>
      <x:c r="I54" s="10" t="str">
        <x:v>HTML; PDF</x:v>
      </x:c>
      <x:c r="J54" s="10" t="str">
        <x:v>Auditunterlagen; Nachweise</x:v>
      </x:c>
      <x:c r="K54" s="10" t="str">
        <x:v>Übermittlungsweg ist nicht programmübergreifend standardisiert;
wird vom jeweiligen Programm bzw. der Kontrollstelle festgelegt;
mögliche Übermittlung per Portal, E-Mail oder Einsichtnahme beim Audit.</x:v>
      </x:c>
      <x:c r="L54" s="10" t="str">
        <x:v>Programmspezifisch</x:v>
      </x:c>
    </x:row>
    <x:row r="55" ht="54" hidden="0" customHeight="1">
      <x:c r="A55" s="10" t="str">
        <x:v>Weitere Zertifizierungsprogramme</x:v>
      </x:c>
      <x:c r="B55" s="10" t="str">
        <x:v>Auditbericht weitere Zertifizierungen</x:v>
      </x:c>
      <x:c r="C55" s="10" t="str">
        <x:v>IFS Standards
ECOVIN Bundesverband Ökologischer Weinbau e.V.
KLIMAWIN</x:v>
      </x:c>
      <x:c r="D55" s="10" t="str">
        <x:v>Kontrollstelle</x:v>
      </x:c>
      <x:c r="E55" s="10" t="str">
        <x:v>Weitere Zertifizierungsprogramme bzw. Zeichenträger</x:v>
      </x:c>
      <x:c r="F55" s="10" t="str">
        <x:v>Kontroll- bzw. Auditbericht einschließlich Abweichungen, Maßnahmen und Zertifikatsdaten</x:v>
      </x:c>
      <x:c r="G55" s="10" t="str">
        <x:v>Audit und Berichtserstellung</x:v>
      </x:c>
      <x:c r="H55" s="10" t="str">
        <x:v>Kontrollergebnisse</x:v>
      </x:c>
      <x:c r="I55" s="10" t="str">
        <x:v>HTML; PDF</x:v>
      </x:c>
      <x:c r="J55" s="10" t="str">
        <x:v>Auditbericht; Zertifikatsdaten</x:v>
      </x:c>
      <x:c r="K55" s="10" t="str">
        <x:v>Übermittlungsweg ist nicht programmübergreifend standardisiert;
wird vom jeweiligen Programm festgelegt;
mögliche digitale Übermittlung per Portal, Datenbank oder E-Mail.</x:v>
      </x:c>
      <x:c r="L55" s="10" t="str">
        <x:v>Programmspezifisch</x:v>
      </x:c>
    </x:row>
    <x:row r="56" ht="43.20000076293945" hidden="0" customHeight="1">
      <x:c r="A56" s="10" t="str">
        <x:v>Einreichung und Verwaltung des Gemeinsamen Antrags</x:v>
      </x:c>
      <x:c r="B56" s="10" t="str">
        <x:v>GA-Rückmeldungen</x:v>
      </x:c>
      <x:c r="C56" s="10" t="str">
        <x:v>Verordnung zur Durchführung des Integrierten Verwaltungs- und Kontrollsystems (GAPInVeKoS-Verordnung - GAPInVeKoSV)</x:v>
      </x:c>
      <x:c r="D56" s="10" t="str">
        <x:v>MLR Referat 25</x:v>
      </x:c>
      <x:c r="E56" s="10" t="str">
        <x:v>Erzeugender Betrieb</x:v>
      </x:c>
      <x:c r="F56" s="10" t="str">
        <x:v>Rückmeldungen, Prüfergebnisse, Nachforderungen und Bescheide</x:v>
      </x:c>
      <x:c r="G56" s="10" t="str">
        <x:v>Prüfung und Verwaltungsrückmeldung</x:v>
      </x:c>
      <x:c r="H56" s="10" t="str">
        <x:v>Antragsdaten; Prüfergebnisse</x:v>
      </x:c>
      <x:c r="I56" s="10" t="str">
        <x:v>HTML; PDF</x:v>
      </x:c>
      <x:c r="J56" s="10" t="str">
        <x:v>Bescheid; Rückmeldung; Nachforderung</x:v>
      </x:c>
      <x:c r="K56" s="10" t="str">
        <x:v>Übermittlung über FIONA;
Rückmeldungen und Nachforderungen digital;
Bescheide je nach Verwaltungsverfahren digital oder schriftlich.
FIONA</x:v>
      </x:c>
      <x:c r="L56" s="10" t="str">
        <x:v>Jährlich; anlassbezogen</x:v>
      </x:c>
    </x:row>
    <x:row r="57" ht="54" hidden="0" customHeight="1">
      <x:c r="A57" s="10" t="str">
        <x:v>Systemübergreifendes Management und strategische Weiterentwicklung von QZBW/BIOZBW</x:v>
      </x:c>
      <x:c r="B57" s="10" t="str">
        <x:v>Systemmanagementdaten Genossenschaft</x:v>
      </x:c>
      <x:c r="C57" s="10" t="str">
        <x:v>Qualitätszeichen Baden-Württemberg
Biozeichen Baden-Württemberg
Mitteilung der Kommission - EU-Leitlinien für eine gute Praxis bei freiwilligen Zertifizierungssystemen für landwirtschaftliche Erzeugnisse und Lebensmittel</x:v>
      </x:c>
      <x:c r="D57" s="10" t="str">
        <x:v>Genossenschaft</x:v>
      </x:c>
      <x:c r="E57" s="10" t="str">
        <x:v>MBW</x:v>
      </x:c>
      <x:c r="F57" s="10" t="str">
        <x:v>Daten der Genossenschaft für das systemübergreifende Management</x:v>
      </x:c>
      <x:c r="G57" s="10" t="str">
        <x:v>Meldung; Antrag; Aktualisierung</x:v>
      </x:c>
      <x:c r="H57" s="10" t="str">
        <x:v>Lizenznehmerdaten; Produktdaten</x:v>
      </x:c>
      <x:c r="I57" s="10" t="str">
        <x:v>HTML; PDF; XLSX; CSV</x:v>
      </x:c>
      <x:c r="J57" s="10" t="str">
        <x:v>Strukturierte Lizenznehmer-, Betriebs- und Produktstammdaten; Produktliste; Statusmeldung; Nachweisdokumente</x:v>
      </x:c>
      <x:c r="K57" s="10" t="str">
        <x:v>Übermittlungsweg wird von MBW festgelegt;
mögliche Meldung oder Aktualisierung digital oder schriftlich;
konkrete technische Umsetzung nicht bekannt.</x:v>
      </x:c>
      <x:c r="L57" s="10" t="str">
        <x:v>Jährlich; bei Änderungen</x:v>
      </x:c>
    </x:row>
    <x:row r="58" ht="32.400001525878906" hidden="0" customHeight="1">
      <x:c r="A58" s="10" t="str">
        <x:v>Systemübergreifendes Management und strategische Weiterentwicklung von QZBW/BIOZBW</x:v>
      </x:c>
      <x:c r="B58" s="10" t="str">
        <x:v>Systemmanagementdaten Kontrollstelle</x:v>
      </x:c>
      <x:c r="C58" s="10" t="str">
        <x:v>BIOZBW – Programmbestimmungen, Stand 01.01.2026</x:v>
      </x:c>
      <x:c r="D58" s="10" t="str">
        <x:v>Kontrollstelle</x:v>
      </x:c>
      <x:c r="E58" s="10" t="str">
        <x:v>MBW</x:v>
      </x:c>
      <x:c r="F58" s="10" t="str">
        <x:v>Kontroll- und Zertifikatsdaten einschließlich BIOZBW-Jahresergebnissen und Vierteljahresübersichten</x:v>
      </x:c>
      <x:c r="G58" s="10" t="str">
        <x:v>Kontroll- und Zertifikatsdaten melden; periodische Übersichten erstellen</x:v>
      </x:c>
      <x:c r="H58" s="10" t="str">
        <x:v>Kontrollergebnisse; Zertifikats- und Statusdaten</x:v>
      </x:c>
      <x:c r="I58" s="10" t="str">
        <x:v>PDF; XLSX; CSV</x:v>
      </x:c>
      <x:c r="J58" s="10" t="str">
        <x:v>Kontrollbericht; Ergebnismeldung; Vierteljahresübersicht</x:v>
      </x:c>
      <x:c r="K58" s="10" t="str">
        <x:v>Übermittlungsweg wird von MBW festgelegt;
mögliche Meldung oder Aktualisierung digital oder schriftlich;
konkrete technische Umsetzung nicht bekannt.</x:v>
      </x:c>
      <x:c r="L58" s="10" t="str">
        <x:v>Nach Kontrolle; jährlich; vierteljährlich</x:v>
      </x:c>
    </x:row>
    <x:row r="59" ht="54" hidden="0" customHeight="1">
      <x:c r="A59" s="10" t="str">
        <x:v>Systemübergreifendes Management und strategische Weiterentwicklung von QZBW/BIOZBW</x:v>
      </x:c>
      <x:c r="B59" s="10" t="str">
        <x:v>Aggregierte Programmdaten</x:v>
      </x:c>
      <x:c r="C59" s="10" t="str">
        <x:v>Qualitätszeichen Baden-Württemberg
Biozeichen Baden-Württemberg
Mitteilung der Kommission - EU-Leitlinien für eine gute Praxis bei freiwilligen Zertifizierungssystemen für landwirtschaftliche Erzeugnisse und Lebensmittel</x:v>
      </x:c>
      <x:c r="D59" s="10" t="str">
        <x:v>MBW</x:v>
      </x:c>
      <x:c r="E59" s="10" t="str">
        <x:v>MLR Referat 63</x:v>
      </x:c>
      <x:c r="F59" s="10" t="str">
        <x:v>Aggregierte Daten zum Stand und zur Entwicklung von QZBW/BIOZBW</x:v>
      </x:c>
      <x:c r="G59" s="10" t="str">
        <x:v>Aggregation und Berichterstattung</x:v>
      </x:c>
      <x:c r="H59" s="10" t="str">
        <x:v>Programm-, Teilnahme-, Kontroll- und Zertifizierungsdaten</x:v>
      </x:c>
      <x:c r="I59" s="10" t="str">
        <x:v>HTML; PDF; XLSX; CSV</x:v>
      </x:c>
      <x:c r="J59" s="10" t="str">
        <x:v>Aggregierte Übersicht; Bericht</x:v>
      </x:c>
      <x:c r="K59" s="10" t="str">
        <x:v>Übermittlungsweg ist nicht öffentlich dokumentiert;
wird zwischen MBW und MLR vereinbart;
mögliche Übermittlung digital oder schriftlich als Auswertung oder Bericht.</x:v>
      </x:c>
      <x:c r="L59" s="10" t="str">
        <x:v>Regelmäßig, mindestens jährlich, sowie anlassbezogen; genauer Turnus ist zu bestätigen</x:v>
      </x:c>
    </x:row>
    <x:row r="60" ht="54" hidden="0" customHeight="1">
      <x:c r="A60" s="10" t="str">
        <x:v>Systemübergreifendes Management und strategische Weiterentwicklung von QZBW/BIOZBW</x:v>
      </x:c>
      <x:c r="B60" s="10" t="str">
        <x:v>Strategiedaten QZBW/BIOZBW</x:v>
      </x:c>
      <x:c r="C60" s="10" t="str">
        <x:v>Qualitätszeichen Baden-Württemberg
Biozeichen Baden-Württemberg
Mitteilung der Kommission - EU-Leitlinien für eine gute Praxis bei freiwilligen Zertifizierungssystemen für landwirtschaftliche Erzeugnisse und Lebensmittel</x:v>
      </x:c>
      <x:c r="D60" s="10" t="str">
        <x:v>MBW</x:v>
      </x:c>
      <x:c r="E60" s="10" t="str">
        <x:v>MLR Referat 63</x:v>
      </x:c>
      <x:c r="F60" s="10" t="str">
        <x:v>Informationen zur strategischen Weiterentwicklung von QZBW/BIOZBW</x:v>
      </x:c>
      <x:c r="G60" s="10" t="str">
        <x:v>Aggregation; fachliche Aufbereitung</x:v>
      </x:c>
      <x:c r="H60" s="10" t="str">
        <x:v>Programmdaten; Änderungsbedarfe</x:v>
      </x:c>
      <x:c r="I60" s="10" t="str">
        <x:v>HTML; PDF; XLSX; CSV</x:v>
      </x:c>
      <x:c r="J60" s="10" t="str">
        <x:v>Bericht; Programmunterlagen</x:v>
      </x:c>
      <x:c r="K60" s="10" t="str">
        <x:v>Übermittlungsweg ist nicht öffentlich dokumentiert;
wird zwischen MBW und MLR vereinbart;
mögliche Übermittlung als Bericht, Auswertung oder Programmunterlage.</x:v>
      </x:c>
      <x:c r="L60" s="10" t="str">
        <x:v>Regelmäßig sowie anlassbezogen bei Änderungsbedarf; genauer Turnus ist zu bestätigen</x:v>
      </x:c>
    </x:row>
    <x:row r="61" ht="54" hidden="0" customHeight="1">
      <x:c r="A61" s="10" t="str">
        <x:v>Systemübergreifendes Management und strategische Weiterentwicklung von QZBW/BIOZBW</x:v>
      </x:c>
      <x:c r="B61" s="10" t="str">
        <x:v>Programmkontrolldaten</x:v>
      </x:c>
      <x:c r="C61" s="10" t="str">
        <x:v>IFS Standards
ECOVIN Bundesverband Ökologischer Weinbau e.V.
KLIMAWIN</x:v>
      </x:c>
      <x:c r="D61" s="10" t="str">
        <x:v>Kontrollstelle</x:v>
      </x:c>
      <x:c r="E61" s="10" t="str">
        <x:v>IFS, Ecovin, KLIMAWIN BW</x:v>
      </x:c>
      <x:c r="F61" s="10" t="str">
        <x:v>Daten aus Audits und Kontrollen für weitere Zertifizierungsprogramme</x:v>
      </x:c>
      <x:c r="G61" s="10" t="str">
        <x:v>Audit und Berichtserstellung</x:v>
      </x:c>
      <x:c r="H61" s="10" t="str">
        <x:v>Kontrollergebnisse</x:v>
      </x:c>
      <x:c r="I61" s="10" t="str">
        <x:v>HTML; PDF</x:v>
      </x:c>
      <x:c r="J61" s="10" t="str">
        <x:v>Auditbericht; Zertifikatsdaten</x:v>
      </x:c>
      <x:c r="K61" s="10" t="str">
        <x:v>Übermittlungsweg ist nicht programmübergreifend standardisiert;
wird vom jeweiligen Zeichenträger festgelegt;
mögliche digitale Übermittlung per Portal, Datenbank oder anderem Meldeweg.</x:v>
      </x:c>
      <x:c r="L61" s="10" t="str">
        <x:v>Programmspezifisch</x:v>
      </x:c>
    </x:row>
    <x:row r="62" ht="43.20000076293945" hidden="0" customHeight="1">
      <x:c r="A62" s="10" t="str">
        <x:v>Systemübergreifendes Management und strategische Weiterentwicklung von QZBW/BIOZBW</x:v>
      </x:c>
      <x:c r="B62" s="10" t="str">
        <x:v>Programmteilnahmedaten</x:v>
      </x:c>
      <x:c r="C62" s="10" t="str">
        <x:v>IFS Standards
ECOVIN Bundesverband Ökologischer Weinbau e.V.
KLIMAWIN</x:v>
      </x:c>
      <x:c r="D62" s="10" t="str">
        <x:v>Teilnehmende Betriebe bzw. Genossenschaft</x:v>
      </x:c>
      <x:c r="E62" s="10" t="str">
        <x:v>IFS, Ecovin, KLIMAWIN BW</x:v>
      </x:c>
      <x:c r="F62" s="10" t="str">
        <x:v>Daten und Nachweise zur Teilnahme an weiteren Programmen</x:v>
      </x:c>
      <x:c r="G62" s="10" t="str">
        <x:v>Programmspezifische Dokumentation</x:v>
      </x:c>
      <x:c r="H62" s="10" t="str">
        <x:v>Betriebliche Angaben; Nachweise; Berichtsdaten</x:v>
      </x:c>
      <x:c r="I62" s="10" t="str">
        <x:v>HTML; PDF</x:v>
      </x:c>
      <x:c r="J62" s="10" t="str">
        <x:v>Teilnahmeunterlagen; Nachweise; ggf. Bericht</x:v>
      </x:c>
      <x:c r="K62" s="10" t="str">
        <x:v>Übermittlungsweg ist nicht programmübergreifend standardisiert;
wird vom jeweiligen Programm festgelegt;
mögliche Einreichung per Portal, E-Mail oder Antragsformular.</x:v>
      </x:c>
      <x:c r="L62" s="10" t="str">
        <x:v>Programmspezifisch</x:v>
      </x:c>
    </x:row>
    <x:row r="63" ht="64.80000305175781" hidden="0" customHeight="1">
      <x:c r="A63" s="10" t="str">
        <x:v>Aufsicht über EU-Öko-Zertifizierung</x:v>
      </x:c>
      <x:c r="B63" s="10" t="str">
        <x:v>Öko-Kontrollergebnisse</x:v>
      </x:c>
      <x:c r="C63" s="10" t="str">
        <x:v>Verordnung (EU) 2018/848 des Europäischen Parlaments und des Rates vom 30. Mai 2018 über die ökologische/biologische Produktion und die Kennzeichnung von ökologischen/biologischen Erzeugnissen sowie zur Aufhebung der Verordnung (EG) Nr. 834/2007 des Rates</x:v>
      </x:c>
      <x:c r="D63" s="10" t="str">
        <x:v>Kontrollstelle</x:v>
      </x:c>
      <x:c r="E63" s="10" t="str">
        <x:v>Regierungspräsidium</x:v>
      </x:c>
      <x:c r="F63" s="10" t="str">
        <x:v>Daten zur behördlichen Aufsicht über die EU-Öko-Zertifizierung</x:v>
      </x:c>
      <x:c r="G63" s="10" t="str">
        <x:v>Meldung durch Kontrollstelle</x:v>
      </x:c>
      <x:c r="H63" s="10" t="str">
        <x:v>Kontrolldaten; Unternehmerdaten; Zertifikatsdaten</x:v>
      </x:c>
      <x:c r="I63" s="10" t="str">
        <x:v>HTML; PDF; XML</x:v>
      </x:c>
      <x:c r="J63" s="10" t="str">
        <x:v>Meldung; Kontroll- und Zertifikatsdaten</x:v>
      </x:c>
      <x:c r="K63" s="10" t="str">
        <x:v>Übermittlungsweg wird von der zuständigen Aufsichtsbehörde festgelegt;
gesicherte digitale Übermittlung von Kontroll-, Unternehmer- und Zertifikatsdaten;
konkrete technische Umsetzung ist zu bestätigen.
Online-Angebot</x:v>
      </x:c>
      <x:c r="L63" s="10" t="str">
        <x:v>Regelmäßig im Rahmen der Aufsicht sowie anlassbezogen; genauer Turnus ist zu bestätigen</x:v>
      </x:c>
    </x:row>
    <x:row r="64" ht="43.20000076293945" hidden="0" customHeight="1">
      <x:c r="A64" s="10" t="str">
        <x:v>Aufsicht über EU-Öko-Zertifizierung</x:v>
      </x:c>
      <x:c r="B64" s="10" t="str">
        <x:v>Öko-Kontrollunterlagen</x:v>
      </x:c>
      <x:c r="C64" s="10" t="str">
        <x:v>Verordnung (EU) 2018/848 des Europäischen Parlaments und des Rates vom 30. Mai 2018 über die ökologische/biologische Produktion und die Kennzeichnung von ökologischen/biologischen Erzeugnissen sowie zur Aufhebung der Verordnung (EG) Nr. 834/2007 des Rates</x:v>
      </x:c>
      <x:c r="D64" s="10" t="str">
        <x:v>Teilnehmende Betriebe bzw. Genossenschaft</x:v>
      </x:c>
      <x:c r="E64" s="10" t="str">
        <x:v>Kontrollstelle</x:v>
      </x:c>
      <x:c r="F64" s="10" t="str">
        <x:v>Unterlagen und Nachweise zur Kontrolle der EU-Öko-Zertifizierung</x:v>
      </x:c>
      <x:c r="G64" s="10" t="str">
        <x:v>Dokumentation und Vorlage bei Öko-Kontrolle</x:v>
      </x:c>
      <x:c r="H64" s="10" t="str">
        <x:v>Betriebsdaten; Produktdaten; Öko-Nachweise</x:v>
      </x:c>
      <x:c r="I64" s="10" t="str">
        <x:v>HTML; PDF; XML</x:v>
      </x:c>
      <x:c r="J64" s="10" t="str">
        <x:v>Kontrollunterlagen; Nachweise</x:v>
      </x:c>
      <x:c r="K64" s="10" t="str">
        <x:v>Übermittlungsweg wird von der jeweiligen Kontrollstelle festgelegt;
mögliche Bereitstellung digital oder schriftlich sowie Einsichtnahme bei der Vor-Ort-Kontrolle.</x:v>
      </x:c>
      <x:c r="L64" s="10" t="str">
        <x:v>Jährlich; anlassbezogen</x:v>
      </x:c>
    </x:row>
    <x:row r="65" ht="64.80000305175781" hidden="0" customHeight="1">
      <x:c r="A65" s="10" t="str">
        <x:v>QZBW-/BIOZBW-Gruppenzertifizierung (GZ) und Qualitätsmanagementsystem (QMS)</x:v>
      </x:c>
      <x:c r="B65" s="10" t="str">
        <x:v>QMS-Mitgliederregister</x:v>
      </x:c>
      <x:c r="C65" s="10" t="str">
        <x:v>QZBW – Anforderungen an Erzeugergruppen, Stand 01.01.2023
QZBW – Teilnahmevereinbarung Gruppenzertifizierung, Stand 2023
BIOZBW – Programmbestimmungen, Stand 01.01.2026
Verordnung (EU) 2018/848
Delegierte Verordnung (EU) 2021/715
Durchführungsverordnung (EU) 2021/279</x:v>
      </x:c>
      <x:c r="D65" s="10" t="str">
        <x:v>Genossenschaft / Erzeugergruppe</x:v>
      </x:c>
      <x:c r="E65" s="10" t="str">
        <x:v>QMS-Verantwortliche Person / zentrale QMS-Ablage</x:v>
      </x:c>
      <x:c r="F65" s="10" t="str">
        <x:v>Aktuelles Mitgliederverzeichnis als Grundlage der internen und externen Kontrolle</x:v>
      </x:c>
      <x:c r="G65" s="10" t="str">
        <x:v>Mitglied anlegen, Status prüfen und Änderungen dokumentieren</x:v>
      </x:c>
      <x:c r="H65" s="10" t="str">
        <x:v>Teilnahmevereinbarung; Stammdaten; Statusentscheidung</x:v>
      </x:c>
      <x:c r="I65" s="10" t="str">
        <x:v>XLSX; strukturierte Datensätze</x:v>
      </x:c>
      <x:c r="J65" s="10" t="str">
        <x:v>Mitgliederregister</x:v>
      </x:c>
      <x:c r="K65" s="10" t="str">
        <x:v>Interne digitale Erfassung</x:v>
      </x:c>
      <x:c r="L65" s="10" t="str">
        <x:v>Bei Aufnahme; laufend; bei Ausscheiden</x:v>
      </x:c>
    </x:row>
    <x:row r="66" ht="64.80000305175781" hidden="0" customHeight="1">
      <x:c r="A66" s="10" t="str">
        <x:v>QZBW-/BIOZBW-Gruppenzertifizierung (GZ) und Qualitätsmanagementsystem (QMS)</x:v>
      </x:c>
      <x:c r="B66" s="10" t="str">
        <x:v>QMS-Qualifikations- und Schulungsnachweise</x:v>
      </x:c>
      <x:c r="C66" s="10" t="str">
        <x:v>QZBW – Anforderungen an Erzeugergruppen, Stand 01.01.2023
QZBW – Teilnahmevereinbarung Gruppenzertifizierung, Stand 2023
BIOZBW – Programmbestimmungen, Stand 01.01.2026
Verordnung (EU) 2018/848
Delegierte Verordnung (EU) 2021/715
Durchführungsverordnung (EU) 2021/279</x:v>
      </x:c>
      <x:c r="D66" s="10" t="str">
        <x:v>Genossenschaft / Erzeugergruppe</x:v>
      </x:c>
      <x:c r="E66" s="10" t="str">
        <x:v>QMS-Verantwortliche Person / zentrale QMS-Ablage</x:v>
      </x:c>
      <x:c r="F66" s="10" t="str">
        <x:v>Nachweise über Eignung, Interessenkonflikte, Schulungsbedarf und durchgeführte Schulungen</x:v>
      </x:c>
      <x:c r="G66" s="10" t="str">
        <x:v>Qualifikation prüfen; Schulungen planen und dokumentieren</x:v>
      </x:c>
      <x:c r="H66" s="10" t="str">
        <x:v>Personalakten; Schulungsplan; Teilnahmenachweise</x:v>
      </x:c>
      <x:c r="I66" s="10" t="str">
        <x:v>PDF; XLSX</x:v>
      </x:c>
      <x:c r="J66" s="10" t="str">
        <x:v>Qualifikationsnachweis; Schulungsplan; Teilnahmebescheinigung</x:v>
      </x:c>
      <x:c r="K66" s="10" t="str">
        <x:v>Interne digitale Ablage</x:v>
      </x:c>
      <x:c r="L66" s="10" t="str">
        <x:v>Bei Bestellung; jährlich; bei Änderungen</x:v>
      </x:c>
    </x:row>
    <x:row r="67" ht="64.80000305175781" hidden="0" customHeight="1">
      <x:c r="A67" s="10" t="str">
        <x:v>QZBW-/BIOZBW-Gruppenzertifizierung (GZ) und Qualitätsmanagementsystem (QMS)</x:v>
      </x:c>
      <x:c r="B67" s="10" t="str">
        <x:v>QMS-Kontrollplan</x:v>
      </x:c>
      <x:c r="C67" s="10" t="str">
        <x:v>QZBW – Anforderungen an Erzeugergruppen, Stand 01.01.2023
QZBW – Teilnahmevereinbarung Gruppenzertifizierung, Stand 2023
BIOZBW – Programmbestimmungen, Stand 01.01.2026
Verordnung (EU) 2018/848
Delegierte Verordnung (EU) 2021/715
Durchführungsverordnung (EU) 2021/279</x:v>
      </x:c>
      <x:c r="D67" s="10" t="str">
        <x:v>QMS-Verantwortliche Person</x:v>
      </x:c>
      <x:c r="E67" s="10" t="str">
        <x:v>Interne Kontrollpersonen</x:v>
      </x:c>
      <x:c r="F67" s="10" t="str">
        <x:v>Freigegebener jährlicher Kontrollplan mit Zuordnung der Mitglieder und Kontrollpersonen</x:v>
      </x:c>
      <x:c r="G67" s="10" t="str">
        <x:v>Kontrollen planen, zuweisen und freigeben</x:v>
      </x:c>
      <x:c r="H67" s="10" t="str">
        <x:v>Mitgliederregister; Risikoeinstufung; Verfügbarkeit</x:v>
      </x:c>
      <x:c r="I67" s="10" t="str">
        <x:v>XLSX; strukturierte Datensätze</x:v>
      </x:c>
      <x:c r="J67" s="10" t="str">
        <x:v>Kontrollplan; Terminliste</x:v>
      </x:c>
      <x:c r="K67" s="10" t="str">
        <x:v>Interne digitale Bereitstellung</x:v>
      </x:c>
      <x:c r="L67" s="10" t="str">
        <x:v>Jährlich; bei Änderungen</x:v>
      </x:c>
    </x:row>
    <x:row r="68" ht="64.80000305175781" hidden="0" customHeight="1">
      <x:c r="A68" s="10" t="str">
        <x:v>QZBW-/BIOZBW-Gruppenzertifizierung (GZ) und Qualitätsmanagementsystem (QMS)</x:v>
      </x:c>
      <x:c r="B68" s="10" t="str">
        <x:v>QMS-Zulassungsentscheidung</x:v>
      </x:c>
      <x:c r="C68" s="10" t="str">
        <x:v>QZBW – Anforderungen an Erzeugergruppen, Stand 01.01.2023
QZBW – Teilnahmevereinbarung Gruppenzertifizierung, Stand 2023
BIOZBW – Programmbestimmungen, Stand 01.01.2026
Verordnung (EU) 2018/848
Delegierte Verordnung (EU) 2021/715
Durchführungsverordnung (EU) 2021/279</x:v>
      </x:c>
      <x:c r="D68" s="10" t="str">
        <x:v>Interne Kontrollperson und QMS-Verantwortliche Person</x:v>
      </x:c>
      <x:c r="E68" s="10" t="str">
        <x:v>Genossenschaft / Erzeugergruppe</x:v>
      </x:c>
      <x:c r="F68" s="10" t="str">
        <x:v>Prüfergebnis, Freigabe, Auflagen und Zertifizierungsstatus des Mitglieds</x:v>
      </x:c>
      <x:c r="G68" s="10" t="str">
        <x:v>Unterlagen prüfen, Entscheidung dokumentieren und Status freigeben</x:v>
      </x:c>
      <x:c r="H68" s="10" t="str">
        <x:v>Teilnahmedaten; interner Kontrollbericht; Maßnahmenstatus</x:v>
      </x:c>
      <x:c r="I68" s="10" t="str">
        <x:v>PDF; strukturierte Datensätze</x:v>
      </x:c>
      <x:c r="J68" s="10" t="str">
        <x:v>Prüfvermerk; Freigabeentscheidung</x:v>
      </x:c>
      <x:c r="K68" s="10" t="str">
        <x:v>Interne digitale Freigabe</x:v>
      </x:c>
      <x:c r="L68" s="10" t="str">
        <x:v>Bei Aufnahme; bei neuen Einheiten oder Tätigkeiten</x:v>
      </x:c>
    </x:row>
    <x:row r="69" ht="64.80000305175781" hidden="0" customHeight="1">
      <x:c r="A69" s="10" t="str">
        <x:v>QZBW-/BIOZBW-Gruppenzertifizierung (GZ) und Qualitätsmanagementsystem (QMS)</x:v>
      </x:c>
      <x:c r="B69" s="10" t="str">
        <x:v>QMS-Abweichungs- und Maßnahmenplan</x:v>
      </x:c>
      <x:c r="C69" s="10" t="str">
        <x:v>QZBW – Anforderungen an Erzeugergruppen, Stand 01.01.2023
QZBW – Teilnahmevereinbarung Gruppenzertifizierung, Stand 2023
BIOZBW – Programmbestimmungen, Stand 01.01.2026
Verordnung (EU) 2018/848
Delegierte Verordnung (EU) 2021/715
Durchführungsverordnung (EU) 2021/279</x:v>
      </x:c>
      <x:c r="D69" s="10" t="str">
        <x:v>Genossenschaft / Erzeugergruppe</x:v>
      </x:c>
      <x:c r="E69" s="10" t="str">
        <x:v>Erzeugender Betrieb</x:v>
      </x:c>
      <x:c r="F69" s="10" t="str">
        <x:v>Vom QMS festgelegte Korrekturmaßnahmen und Umsetzungsfristen</x:v>
      </x:c>
      <x:c r="G69" s="10" t="str">
        <x:v>Abweichung bewerten, Maßnahmen festlegen und übermitteln</x:v>
      </x:c>
      <x:c r="H69" s="10" t="str">
        <x:v>Interner Kontrollbericht; Standardvorgaben</x:v>
      </x:c>
      <x:c r="I69" s="10" t="str">
        <x:v>PDF; strukturierte Datensätze</x:v>
      </x:c>
      <x:c r="J69" s="10" t="str">
        <x:v>Abweichungsbericht; Maßnahmenplan</x:v>
      </x:c>
      <x:c r="K69" s="10" t="str">
        <x:v>Manuelle oder digitale Übermittlung</x:v>
      </x:c>
      <x:c r="L69" s="10" t="str">
        <x:v>Anlassbezogen</x:v>
      </x:c>
    </x:row>
    <x:row r="70" ht="64.80000305175781" hidden="0" customHeight="1">
      <x:c r="A70" s="10" t="str">
        <x:v>QZBW-/BIOZBW-Gruppenzertifizierung (GZ) und Qualitätsmanagementsystem (QMS)</x:v>
      </x:c>
      <x:c r="B70" s="10" t="str">
        <x:v>QMS-Korrekturmeldung</x:v>
      </x:c>
      <x:c r="C70" s="10" t="str">
        <x:v>QZBW – Anforderungen an Erzeugergruppen, Stand 01.01.2023
QZBW – Teilnahmevereinbarung Gruppenzertifizierung, Stand 2023
BIOZBW – Programmbestimmungen, Stand 01.01.2026
Verordnung (EU) 2018/848
Delegierte Verordnung (EU) 2021/715
Durchführungsverordnung (EU) 2021/279</x:v>
      </x:c>
      <x:c r="D70" s="10" t="str">
        <x:v>Erzeugender Betrieb</x:v>
      </x:c>
      <x:c r="E70" s="10" t="str">
        <x:v>Genossenschaft / Erzeugergruppe</x:v>
      </x:c>
      <x:c r="F70" s="10" t="str">
        <x:v>Umsetzungsstatus, Nachweis und Meldedatum; bei QZBW ausdrücklich belegt, bei BIOZBW aus dem EU-QMS-Verfahren abgeleitet</x:v>
      </x:c>
      <x:c r="G70" s="10" t="str">
        <x:v>Umsetzung dokumentieren und an die Gruppe melden</x:v>
      </x:c>
      <x:c r="H70" s="10" t="str">
        <x:v>Maßnahmenplan; Umsetzungsnachweis</x:v>
      </x:c>
      <x:c r="I70" s="10" t="str">
        <x:v>PDF; strukturierte Datensätze</x:v>
      </x:c>
      <x:c r="J70" s="10" t="str">
        <x:v>Statusmeldung; Nachweis</x:v>
      </x:c>
      <x:c r="K70" s="10" t="str">
        <x:v>Manuelle oder digitale Übermittlung</x:v>
      </x:c>
      <x:c r="L70" s="10" t="str">
        <x:v>Anlassbezogen</x:v>
      </x:c>
    </x:row>
    <x:row r="71" ht="64.80000305175781" hidden="0" customHeight="1">
      <x:c r="A71" s="10" t="str">
        <x:v>QZBW-/BIOZBW-Gruppenzertifizierung (GZ) und Qualitätsmanagementsystem (QMS)</x:v>
      </x:c>
      <x:c r="B71" s="10" t="str">
        <x:v>QMS-Rückverfolgbarkeitstest</x:v>
      </x:c>
      <x:c r="C71" s="10" t="str">
        <x:v>QZBW – Anforderungen an Erzeugergruppen, Stand 01.01.2023
QZBW – Teilnahmevereinbarung Gruppenzertifizierung, Stand 2023
BIOZBW – Programmbestimmungen, Stand 01.01.2026
Verordnung (EU) 2018/848
Delegierte Verordnung (EU) 2021/715
Durchführungsverordnung (EU) 2021/279</x:v>
      </x:c>
      <x:c r="D71" s="10" t="str">
        <x:v>Genossenschaft / Erzeugergruppe</x:v>
      </x:c>
      <x:c r="E71" s="10" t="str">
        <x:v>QMS-Verantwortliche Person / zentrale QMS-Ablage</x:v>
      </x:c>
      <x:c r="F71" s="10" t="str">
        <x:v>Auswahl, Prüfschritte, beteiligte Lose/Mengen, Ergebnis und Folgemaßnahmen</x:v>
      </x:c>
      <x:c r="G71" s="10" t="str">
        <x:v>Test durchführen, Ergebnis dokumentieren und Maßnahmen ableiten</x:v>
      </x:c>
      <x:c r="H71" s="10" t="str">
        <x:v>Wareneingangs-, Produktions- und Warenausgangsdaten</x:v>
      </x:c>
      <x:c r="I71" s="10" t="str">
        <x:v>PDF; XLSX</x:v>
      </x:c>
      <x:c r="J71" s="10" t="str">
        <x:v>Prüfprotokoll; Mengenabgleich</x:v>
      </x:c>
      <x:c r="K71" s="10" t="str">
        <x:v>Interne digitale Ablage</x:v>
      </x:c>
      <x:c r="L71" s="10" t="str">
        <x:v>Jährlich</x:v>
      </x:c>
    </x:row>
    <x:row r="72" ht="64.80000305175781" hidden="0" customHeight="1">
      <x:c r="A72" s="10" t="str">
        <x:v>QZBW-/BIOZBW-Gruppenzertifizierung (GZ) und Qualitätsmanagementsystem (QMS)</x:v>
      </x:c>
      <x:c r="B72" s="10" t="str">
        <x:v>QMS-Beschwerde- und Abweichungsregister</x:v>
      </x:c>
      <x:c r="C72" s="10" t="str">
        <x:v>QZBW – Anforderungen an Erzeugergruppen, Stand 01.01.2023
QZBW – Teilnahmevereinbarung Gruppenzertifizierung, Stand 2023
BIOZBW – Programmbestimmungen, Stand 01.01.2026
Verordnung (EU) 2018/848
Delegierte Verordnung (EU) 2021/715
Durchführungsverordnung (EU) 2021/279</x:v>
      </x:c>
      <x:c r="D72" s="10" t="str">
        <x:v>Genossenschaft / Erzeugergruppe</x:v>
      </x:c>
      <x:c r="E72" s="10" t="str">
        <x:v>QMS-Verantwortliche Person / zentrale QMS-Ablage</x:v>
      </x:c>
      <x:c r="F72" s="10" t="str">
        <x:v>Zentral geführte Vorgänge zur Beschwerde- und Abweichungsbearbeitung</x:v>
      </x:c>
      <x:c r="G72" s="10" t="str">
        <x:v>Vorgang erfassen, untersuchen, entscheiden und abschließen</x:v>
      </x:c>
      <x:c r="H72" s="10" t="str">
        <x:v>Beschwerde; Prüfergebnis; Maßnahmenstatus</x:v>
      </x:c>
      <x:c r="I72" s="10" t="str">
        <x:v>PDF; XLSX; strukturierte Datensätze</x:v>
      </x:c>
      <x:c r="J72" s="10" t="str">
        <x:v>Register; Vorgangsakte</x:v>
      </x:c>
      <x:c r="K72" s="10" t="str">
        <x:v>Interne digitale Ablage</x:v>
      </x:c>
      <x:c r="L72" s="10" t="str">
        <x:v>Anlassbezogen</x:v>
      </x:c>
    </x:row>
    <x:row r="73" ht="64.80000305175781" hidden="0" customHeight="1">
      <x:c r="A73" s="10" t="str">
        <x:v>QZBW-/BIOZBW-Gruppenzertifizierung (GZ) und Qualitätsmanagementsystem (QMS)</x:v>
      </x:c>
      <x:c r="B73" s="10" t="str">
        <x:v>Externer QMS-Kontrollauftrag</x:v>
      </x:c>
      <x:c r="C73" s="10" t="str">
        <x:v>QZBW – Anforderungen an Erzeugergruppen, Stand 01.01.2023
QZBW – Teilnahmevereinbarung Gruppenzertifizierung, Stand 2023
BIOZBW – Programmbestimmungen, Stand 01.01.2026
Verordnung (EU) 2018/848
Delegierte Verordnung (EU) 2021/715
Durchführungsverordnung (EU) 2021/279</x:v>
      </x:c>
      <x:c r="D73" s="10" t="str">
        <x:v>Genossenschaft / Erzeugergruppe</x:v>
      </x:c>
      <x:c r="E73" s="10" t="str">
        <x:v>Kontroll-/Zertifizierungsstelle</x:v>
      </x:c>
      <x:c r="F73" s="10" t="str">
        <x:v>Beauftragung der Kontrolle sowie Angaben zu Gruppe, Umfang und Ansprechpartnern</x:v>
      </x:c>
      <x:c r="G73" s="10" t="str">
        <x:v>Kontrolle beauftragen und erforderliche Angaben übermitteln</x:v>
      </x:c>
      <x:c r="H73" s="10" t="str">
        <x:v>Vertrags- und Gruppendaten</x:v>
      </x:c>
      <x:c r="I73" s="10" t="str">
        <x:v>PDF; strukturierte Datensätze</x:v>
      </x:c>
      <x:c r="J73" s="10" t="str">
        <x:v>Kontrollvertrag; Auftrag; Stammdaten</x:v>
      </x:c>
      <x:c r="K73" s="10" t="str">
        <x:v>Manuelle oder digitale Übermittlung</x:v>
      </x:c>
      <x:c r="L73" s="10" t="str">
        <x:v>Bei Erstkontrolle; jährlich bzw. vertragsgemäß</x:v>
      </x:c>
    </x:row>
    <x:row r="74" ht="64.80000305175781" hidden="0" customHeight="1">
      <x:c r="A74" s="10" t="str">
        <x:v>QZBW-/BIOZBW-Gruppenzertifizierung (GZ) und Qualitätsmanagementsystem (QMS)</x:v>
      </x:c>
      <x:c r="B74" s="10" t="str">
        <x:v>QMS-Kontrolltermin und Unterlagenanforderung</x:v>
      </x:c>
      <x:c r="C74" s="10" t="str">
        <x:v>QZBW – Anforderungen an Erzeugergruppen, Stand 01.01.2023
QZBW – Teilnahmevereinbarung Gruppenzertifizierung, Stand 2023
BIOZBW – Programmbestimmungen, Stand 01.01.2026
Verordnung (EU) 2018/848
Delegierte Verordnung (EU) 2021/715
Durchführungsverordnung (EU) 2021/279</x:v>
      </x:c>
      <x:c r="D74" s="10" t="str">
        <x:v>Kontroll-/Zertifizierungsstelle</x:v>
      </x:c>
      <x:c r="E74" s="10" t="str">
        <x:v>Genossenschaft / Erzeugergruppe</x:v>
      </x:c>
      <x:c r="F74" s="10" t="str">
        <x:v>Abgestimmter Termin, Stichprobenumfang und Liste bereitzustellender Unterlagen</x:v>
      </x:c>
      <x:c r="G74" s="10" t="str">
        <x:v>Termin abstimmen und Unterlagen anfordern</x:v>
      </x:c>
      <x:c r="H74" s="10" t="str">
        <x:v>Kontrollauftrag; Mitgliederregister; Risikodaten</x:v>
      </x:c>
      <x:c r="I74" s="10" t="str">
        <x:v>PDF; E-Mail; strukturierte Datensätze</x:v>
      </x:c>
      <x:c r="J74" s="10" t="str">
        <x:v>Terminbestätigung; Anforderungsliste</x:v>
      </x:c>
      <x:c r="K74" s="10" t="str">
        <x:v>Digitale oder telefonische Kommunikation</x:v>
      </x:c>
      <x:c r="L74" s="10" t="str">
        <x:v>Jährlich vor Kontrolle</x:v>
      </x:c>
    </x:row>
    <x:row r="75" ht="64.80000305175781" hidden="0" customHeight="1">
      <x:c r="A75" s="10" t="str">
        <x:v>QZBW-/BIOZBW-Gruppenzertifizierung (GZ) und Qualitätsmanagementsystem (QMS)</x:v>
      </x:c>
      <x:c r="B75" s="10" t="str">
        <x:v>QMS-Zertifikatsdaten</x:v>
      </x:c>
      <x:c r="C75" s="10" t="str">
        <x:v>QZBW – Anforderungen an Erzeugergruppen, Stand 01.01.2023
QZBW – Teilnahmevereinbarung Gruppenzertifizierung, Stand 2023
BIOZBW – Programmbestimmungen, Stand 01.01.2026
Verordnung (EU) 2018/848
Delegierte Verordnung (EU) 2021/715
Durchführungsverordnung (EU) 2021/279</x:v>
      </x:c>
      <x:c r="D75" s="10" t="str">
        <x:v>Kontroll-/Zertifizierungsstelle</x:v>
      </x:c>
      <x:c r="E75" s="10" t="str">
        <x:v>Genossenschaft / Erzeugergruppe</x:v>
      </x:c>
      <x:c r="F75" s="10" t="str">
        <x:v>Gültigkeit, Geltungsbereich, Bedingungen und Identifikation des Gruppenzertifikats</x:v>
      </x:c>
      <x:c r="G75" s="10" t="str">
        <x:v>Zertifikat erstellen, übermitteln, prüfen und archivieren</x:v>
      </x:c>
      <x:c r="H75" s="10" t="str">
        <x:v>Kontrollbericht; Entscheidungsdaten</x:v>
      </x:c>
      <x:c r="I75" s="10" t="str">
        <x:v>PDF; strukturierte Datensätze</x:v>
      </x:c>
      <x:c r="J75" s="10" t="str">
        <x:v>Zertifikat; Zertifikatsdatensatz</x:v>
      </x:c>
      <x:c r="K75" s="10" t="str">
        <x:v>Manuelle oder digitale Übermittlung</x:v>
      </x:c>
      <x:c r="L75" s="10" t="str">
        <x:v>Jährlich; nach Entscheidung</x:v>
      </x:c>
    </x:row>
    <x:row r="76" ht="64.80000305175781" hidden="0" customHeight="1">
      <x:c r="A76" s="10" t="str">
        <x:v>QZBW-/BIOZBW-Gruppenzertifizierung (GZ) und Qualitätsmanagementsystem (QMS)</x:v>
      </x:c>
      <x:c r="B76" s="10" t="str">
        <x:v>Lizenznehmer-Prüf- und Weiterleitungsdaten</x:v>
      </x:c>
      <x:c r="C76" s="10" t="str">
        <x:v>QZBW – Anforderungen an Erzeugergruppen, Stand 01.01.2023
QZBW – Teilnahmevereinbarung Gruppenzertifizierung, Stand 2023
BIOZBW – Programmbestimmungen, Stand 01.01.2026
Verordnung (EU) 2018/848
Delegierte Verordnung (EU) 2021/715
Durchführungsverordnung (EU) 2021/279</x:v>
      </x:c>
      <x:c r="D76" s="10" t="str">
        <x:v>Externer Lizenznehmer</x:v>
      </x:c>
      <x:c r="E76" s="10" t="str">
        <x:v>MBW</x:v>
      </x:c>
      <x:c r="F76" s="10" t="str">
        <x:v>Ergebnis der Vertragsprüfung und weitergeleitete Programmanmeldung der Genossenschaft</x:v>
      </x:c>
      <x:c r="G76" s="10" t="str">
        <x:v>Vertrag prüfen, gegenzeichnen und Anmeldung weiterleiten</x:v>
      </x:c>
      <x:c r="H76" s="10" t="str">
        <x:v>Zeichennutzungsvertrag; Programmanmeldung</x:v>
      </x:c>
      <x:c r="I76" s="10" t="str">
        <x:v>PDF; strukturierte Datensätze</x:v>
      </x:c>
      <x:c r="J76" s="10" t="str">
        <x:v>Prüfvermerk; Anmeldung</x:v>
      </x:c>
      <x:c r="K76" s="10" t="str">
        <x:v>Manuelle oder digitale Übermittlung</x:v>
      </x:c>
      <x:c r="L76" s="10" t="str">
        <x:v>Bei Aufnahme; bei Änderungen</x:v>
      </x:c>
    </x:row>
    <x:row r="77" ht="43.20000076293945" hidden="0" customHeight="1">
      <x:c r="A77" s="10" t="str">
        <x:v>QZBW-/BIOZBW-Gruppenzertifizierung (GZ) und Qualitätsmanagementsystem (QMS)</x:v>
      </x:c>
      <x:c r="B77" s="10" t="str">
        <x:v>BIOZBW-Eigenkontroll- und Produktpaket</x:v>
      </x:c>
      <x:c r="C77" s="10" t="str">
        <x:v>BIOZBW – Programmbestimmungen, Stand 01.01.2026</x:v>
      </x:c>
      <x:c r="D77" s="10" t="str">
        <x:v>Genossenschaft / Zeichennutzerin</x:v>
      </x:c>
      <x:c r="E77" s="10" t="str">
        <x:v>Kontrollstelle</x:v>
      </x:c>
      <x:c r="F77" s="10" t="str">
        <x:v>Dokumentiert die programmspezifische Eigenkontrolle, alle BIOZBW-Produkte und den Nachweis der Qualitätsprüfung; nicht enthalten sind Labor- oder sensorische Prüfleistungen selbst</x:v>
      </x:c>
      <x:c r="G77" s="10" t="str">
        <x:v>Eigenkontrolle dokumentieren; Produktliste aktualisieren; Qualitätsnachweis zusammenstellen und vorlegen</x:v>
      </x:c>
      <x:c r="H77" s="10" t="str">
        <x:v>Eigenkontrollcheckliste; Produktstammdaten; Prüf-/Untersuchungsnachweis</x:v>
      </x:c>
      <x:c r="I77" s="10" t="str">
        <x:v>PDF; XLSX; strukturierte Datensätze</x:v>
      </x:c>
      <x:c r="J77" s="10" t="str">
        <x:v>Checkliste; Produktaufstellung; Qualitätsnachweis</x:v>
      </x:c>
      <x:c r="K77" s="10" t="str">
        <x:v>Manuelle oder digitale Übermittlung</x:v>
      </x:c>
      <x:c r="L77" s="10" t="str">
        <x:v>Jährlich; bei Produktänderungen; anlassbezogen</x:v>
      </x:c>
    </x:row>
    <x:row r="78" ht="21.600000381469727" hidden="0" customHeight="1">
      <x:c r="A78" s="10" t="str">
        <x:v>QZBW-/BIOZBW-Gruppenzertifizierung (GZ) und Qualitätsmanagementsystem (QMS)</x:v>
      </x:c>
      <x:c r="B78" s="10" t="str">
        <x:v>BIOZBW-Lizenznehmer-Jahresmeldung</x:v>
      </x:c>
      <x:c r="C78" s="10" t="str">
        <x:v>BIOZBW – Programmbestimmungen, Stand 01.01.2026</x:v>
      </x:c>
      <x:c r="D78" s="10" t="str">
        <x:v>Externer Lizenznehmer</x:v>
      </x:c>
      <x:c r="E78" s="10" t="str">
        <x:v>MBW</x:v>
      </x:c>
      <x:c r="F78" s="10" t="str">
        <x:v>Anzahl und Art der Unternehmen mit gültiger Teilnahmeerklärung sowie aktuelle BIOZBW-Produktaufstellung</x:v>
      </x:c>
      <x:c r="G78" s="10" t="str">
        <x:v>Teilnahme- und Produktdaten prüfen, verdichten und jährlich melden</x:v>
      </x:c>
      <x:c r="H78" s="10" t="str">
        <x:v>Teilnehmerdaten; Teilnahmeerklärungen; Produktaufstellung</x:v>
      </x:c>
      <x:c r="I78" s="10" t="str">
        <x:v>PDF; XLSX; strukturierte Datensätze</x:v>
      </x:c>
      <x:c r="J78" s="10" t="str">
        <x:v>Jahresbericht; Teilnehmerübersicht; Produktliste</x:v>
      </x:c>
      <x:c r="K78" s="10" t="str">
        <x:v>Manuelle oder digitale Übermittlung</x:v>
      </x:c>
      <x:c r="L78" s="10" t="str">
        <x:v>Jährlich</x:v>
      </x:c>
    </x:row>
    <x:row r="79" ht="32.400001525878906" hidden="0" customHeight="1">
      <x:c r="A79" s="11" t="str">
        <x:v>QZBW-/BIOZBW-Gruppenzertifizierung (GZ) und Qualitätsmanagementsystem (QMS)</x:v>
      </x:c>
      <x:c r="B79" s="11" t="str">
        <x:v>BIOZBW-Kontrollstellen-Ergebnismeldung</x:v>
      </x:c>
      <x:c r="C79" s="11" t="str">
        <x:v>BIOZBW – Programmbestimmungen, Stand 01.01.2026</x:v>
      </x:c>
      <x:c r="D79" s="11" t="str">
        <x:v>Kontrollstelle</x:v>
      </x:c>
      <x:c r="E79" s="11" t="str">
        <x:v>MBW</x:v>
      </x:c>
      <x:c r="F79" s="11" t="str">
        <x:v>Ergebnisse der Kontrollen sowie periodische Übersicht zu kontrollierten, anerkannten, gesperrten oder ausgeschiedenen Unternehmen</x:v>
      </x:c>
      <x:c r="G79" s="11" t="str">
        <x:v>Kontrollergebnisse dokumentieren, aggregieren und fristgerecht melden</x:v>
      </x:c>
      <x:c r="H79" s="11" t="str">
        <x:v>Kontrollberichte; Status- und Zertifikatsdaten</x:v>
      </x:c>
      <x:c r="I79" s="11" t="str">
        <x:v>PDF; XLSX; strukturierte Datensätze</x:v>
      </x:c>
      <x:c r="J79" s="11" t="str">
        <x:v>Ergebnismeldung; Vierteljahresübersicht</x:v>
      </x:c>
      <x:c r="K79" s="11" t="str">
        <x:v>Manuelle oder digitale Übermittlung</x:v>
      </x:c>
      <x:c r="L79" s="11" t="str">
        <x:v>Jährlich; vierteljährlich</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30" hidden="0" customWidth="1"/>
    <x:col min="4" max="4" width="32" hidden="0" customWidth="1"/>
    <x:col min="5" max="5" width="21" hidden="0" customWidth="1"/>
    <x:col min="6" max="6" width="42" hidden="0" customWidth="1"/>
    <x:col min="7" max="7" width="54" hidden="0" customWidth="1"/>
    <x:col min="8" max="8" width="16" hidden="0" customWidth="1"/>
  </x:cols>
  <x:sheetData>
    <x:row r="1" ht="38" customHeight="1">
      <x:c r="A1" s="5" t="str">
        <x:v>Link-ID</x:v>
      </x:c>
      <x:c r="B1" s="5" t="str">
        <x:v>Zeile im Metadatenkatalog</x:v>
      </x:c>
      <x:c r="C1" s="5" t="str">
        <x:v>Zugehöriger Prozess</x:v>
      </x:c>
      <x:c r="D1" s="5" t="str">
        <x:v>Datenerhebung</x:v>
      </x:c>
      <x:c r="E1" s="5" t="str">
        <x:v>Metadatenfeld</x:v>
      </x:c>
      <x:c r="F1" s="5" t="str">
        <x:v>Verknüpfte Beschreibung</x:v>
      </x:c>
      <x:c r="G1" s="5" t="str">
        <x:v>URL</x:v>
      </x:c>
      <x:c r="H1" s="5" t="str">
        <x:v>Hyperlink</x:v>
      </x:c>
    </x:row>
    <x:row r="2" ht="86.4000015258789" hidden="0" customHeight="1">
      <x:c r="A2" s="10" t="str">
        <x:v>LINK-0001</x:v>
      </x:c>
      <x:c r="B2" s="10" t="n">
        <x:v>2</x:v>
      </x:c>
      <x:c r="C2" s="10" t="str">
        <x:v>Einreichung und Verwaltung des Gemeinsamen Antrags</x:v>
      </x:c>
      <x:c r="D2" s="10" t="str">
        <x:v>Direktzahlungen (Einkommensgrundstützung EGS, Umverteilungs‑Einkommensstützung UES, Junglandwirte‑Einkommensstützung JES, Öko‑Regelungen, gekoppelte Prämien)</x:v>
      </x:c>
      <x:c r="E2" s="10" t="str">
        <x:v>Grundlagendokument</x:v>
      </x:c>
      <x:c r="F2" s="10" t="str">
        <x:v>Gesetz zur Durchführung der im Rahmen der Gemeinsamen Agrarpolitik geltenden Direktzahlungen (GAP-Direktzahlungen-Gesetz - GAPDZG)</x:v>
      </x:c>
      <x:c r="G2" s="10" t="str">
        <x:v>https://www.gesetze-im-internet.de/gapdzg/BJNR300300021.html</x:v>
      </x:c>
      <x:c r="H2" s="10" t="e">
        <x:f>HYPERLINK("https://www.gesetze-im-internet.de/gapdzg/BJNR300300021.html","Quelle öffnen")</x:f>
        <x:v>HYPERLINK is not implemented. linkLocation=https://www.gesetze-im-internet.de/gapdzg/BJNR300300021.html, friendlyName=Quelle öffnen</x:v>
      </x:c>
    </x:row>
    <x:row r="3" ht="86.4000015258789" hidden="0" customHeight="1">
      <x:c r="A3" s="10" t="str">
        <x:v>LINK-0002</x:v>
      </x:c>
      <x:c r="B3" s="10" t="n">
        <x:v>2</x:v>
      </x:c>
      <x:c r="C3" s="10" t="str">
        <x:v>Einreichung und Verwaltung des Gemeinsamen Antrags</x:v>
      </x:c>
      <x:c r="D3" s="10" t="str">
        <x:v>Direktzahlungen (Einkommensgrundstützung EGS, Umverteilungs‑Einkommensstützung UES, Junglandwirte‑Einkommensstützung JES, Öko‑Regelungen, gekoppelte Prämien)</x:v>
      </x:c>
      <x:c r="E3" s="10" t="str">
        <x:v>Grundlagendokument</x:v>
      </x:c>
      <x:c r="F3" s="10" t="str">
        <x:v>Verordnung zur Durchführung der GAP-Direktzahlungen (GAP-Direktzahlungen-Verordnung - GAPDZV)</x:v>
      </x:c>
      <x:c r="G3" s="10" t="str">
        <x:v>https://www.gesetze-im-internet.de/gapdzv/BJNR013900022.html</x:v>
      </x:c>
      <x:c r="H3" s="10" t="e">
        <x:f>HYPERLINK("https://www.gesetze-im-internet.de/gapdzv/BJNR013900022.html","Quelle öffnen")</x:f>
        <x:v>HYPERLINK is not implemented. linkLocation=https://www.gesetze-im-internet.de/gapdzv/BJNR013900022.html, friendlyName=Quelle öffnen</x:v>
      </x:c>
    </x:row>
    <x:row r="4" ht="86.4000015258789" hidden="0" customHeight="1">
      <x:c r="A4" s="10" t="str">
        <x:v>LINK-0003</x:v>
      </x:c>
      <x:c r="B4" s="10" t="n">
        <x:v>2</x:v>
      </x:c>
      <x:c r="C4" s="10" t="str">
        <x:v>Einreichung und Verwaltung des Gemeinsamen Antrags</x:v>
      </x:c>
      <x:c r="D4" s="10" t="str">
        <x:v>Direktzahlungen (Einkommensgrundstützung EGS, Umverteilungs‑Einkommensstützung UES, Junglandwirte‑Einkommensstützung JES, Öko‑Regelungen, gekoppelte Prämien)</x:v>
      </x:c>
      <x:c r="E4" s="10" t="str">
        <x:v>Grundlagendokument</x:v>
      </x:c>
      <x:c r="F4" s="10" t="str">
        <x:v>Verordnung zur Durchführung des Integrierten Verwaltungs- und Kontrollsystems (GAPInVeKoS-Verordnung - GAPInVeKoSV)</x:v>
      </x:c>
      <x:c r="G4" s="10" t="str">
        <x:v>https://www.gesetze-im-internet.de/gapinvekosv/BJNR635300022.html</x:v>
      </x:c>
      <x:c r="H4" s="10" t="e">
        <x:f>HYPERLINK("https://www.gesetze-im-internet.de/gapinvekosv/BJNR635300022.html","Quelle öffnen")</x:f>
        <x:v>HYPERLINK is not implemented. linkLocation=https://www.gesetze-im-internet.de/gapinvekosv/BJNR635300022.html, friendlyName=Quelle öffnen</x:v>
      </x:c>
    </x:row>
    <x:row r="5" ht="97.19999694824219" hidden="0" customHeight="1">
      <x:c r="A5" s="10" t="str">
        <x:v>LINK-0004</x:v>
      </x:c>
      <x:c r="B5" s="10" t="n">
        <x:v>2</x:v>
      </x:c>
      <x:c r="C5" s="10" t="str">
        <x:v>Einreichung und Verwaltung des Gemeinsamen Antrags</x:v>
      </x:c>
      <x:c r="D5" s="10" t="str">
        <x:v>Direktzahlungen (Einkommensgrundstützung EGS, Umverteilungs‑Einkommensstützung UES, Junglandwirte‑Einkommensstützung JES, Öko‑Regelungen, gekoppelte Prämien)</x:v>
      </x:c>
      <x:c r="E5" s="10" t="str">
        <x:v>Grundlagendokument</x:v>
      </x:c>
      <x:c r="F5" s="10" t="str">
        <x:v>Zweite GAP‑RefVO BW (PDF des Landesrecht BW)</x:v>
      </x:c>
      <x:c r="G5" s="10" t="str">
        <x:v>https://www.landtag-bw.de/resource/blob/216204/2fafb20c9c1ef85ec869b734233b18f4/GBl2024062.pdf</x:v>
      </x:c>
      <x:c r="H5" s="10" t="e">
        <x:f>HYPERLINK("https://www.landtag-bw.de/resource/blob/216204/2fafb20c9c1ef85ec869b734233b18f4/GBl2024062.pdf","Quelle öffnen")</x:f>
        <x:v>HYPERLINK is not implemented. linkLocation=https://www.landtag-bw.de/resource/blob/216204/2fafb20c9c1ef85ec869b734233b18f4/GBl2024062.pdf, friendlyName=Quelle öffnen</x:v>
      </x:c>
    </x:row>
    <x:row r="6" ht="64.80000305175781" hidden="0" customHeight="1">
      <x:c r="A6" s="10" t="str">
        <x:v>LINK-0005</x:v>
      </x:c>
      <x:c r="B6" s="10" t="n">
        <x:v>2</x:v>
      </x:c>
      <x:c r="C6" s="10" t="str">
        <x:v>Einreichung und Verwaltung des Gemeinsamen Antrags</x:v>
      </x:c>
      <x:c r="D6" s="10" t="str">
        <x:v>Direktzahlungen (Einkommensgrundstützung EGS, Umverteilungs‑Einkommensstützung UES, Junglandwirte‑Einkommensstützung JES, Öko‑Regelungen, gekoppelte Prämien)</x:v>
      </x:c>
      <x:c r="E6" s="10" t="str">
        <x:v>Übermittlungsart</x:v>
      </x:c>
      <x:c r="F6" s="10" t="str">
        <x:v>FIONA</x:v>
      </x:c>
      <x:c r="G6" s="10" t="str">
        <x:v>https://fiona.landbw.de/</x:v>
      </x:c>
      <x:c r="H6" s="10" t="e">
        <x:f>HYPERLINK("https://fiona.landbw.de/","Quelle öffnen")</x:f>
        <x:v>HYPERLINK is not implemented. linkLocation=https://fiona.landbw.de/, friendlyName=Quelle öffnen</x:v>
      </x:c>
    </x:row>
    <x:row r="7" ht="86.4000015258789" hidden="0" customHeight="1">
      <x:c r="A7" s="10" t="str">
        <x:v>LINK-0006</x:v>
      </x:c>
      <x:c r="B7" s="10" t="n">
        <x:v>3</x:v>
      </x:c>
      <x:c r="C7" s="10" t="str">
        <x:v>Einreichung und Verwaltung des Gemeinsamen Antrags</x:v>
      </x:c>
      <x:c r="D7" s="10" t="str">
        <x:v>FAKT II – Förderprogramm für Agrarumwelt, Klimaschutz und Tierwohl</x:v>
      </x:c>
      <x:c r="E7" s="10" t="str">
        <x:v>Grundlagendokument</x:v>
      </x:c>
      <x:c r="F7" s="10" t="str">
        <x:v>Verwaltungsvorschrift (VwV FAKT II) im Landesrecht BW</x:v>
      </x:c>
      <x:c r="G7" s="10" t="str">
        <x:v>https://landesrecht-bw.de/bsbw/document/VBW-VVBW00042398</x:v>
      </x:c>
      <x:c r="H7" s="10" t="e">
        <x:f>HYPERLINK("https://landesrecht-bw.de/bsbw/document/VBW-VVBW00042398","Quelle öffnen")</x:f>
        <x:v>HYPERLINK is not implemented. linkLocation=https://landesrecht-bw.de/bsbw/document/VBW-VVBW00042398, friendlyName=Quelle öffnen</x:v>
      </x:c>
    </x:row>
    <x:row r="8" ht="97.19999694824219" hidden="0" customHeight="1">
      <x:c r="A8" s="10" t="str">
        <x:v>LINK-0007</x:v>
      </x:c>
      <x:c r="B8" s="10" t="n">
        <x:v>3</x:v>
      </x:c>
      <x:c r="C8" s="10" t="str">
        <x:v>Einreichung und Verwaltung des Gemeinsamen Antrags</x:v>
      </x:c>
      <x:c r="D8" s="10" t="str">
        <x:v>FAKT II – Förderprogramm für Agrarumwelt, Klimaschutz und Tierwohl</x:v>
      </x:c>
      <x:c r="E8" s="10" t="str">
        <x:v>Grundlagendokument</x:v>
      </x:c>
      <x:c r="F8" s="10" t="str">
        <x:v>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G8" s="10" t="str">
        <x:v>https://eur-lex.europa.eu/eli/reg/2021/2115/oj</x:v>
      </x:c>
      <x:c r="H8" s="10" t="e">
        <x:f>HYPERLINK("https://eur-lex.europa.eu/eli/reg/2021/2115/oj","Quelle öffnen")</x:f>
        <x:v>HYPERLINK is not implemented. linkLocation=https://eur-lex.europa.eu/eli/reg/2021/2115/oj, friendlyName=Quelle öffnen</x:v>
      </x:c>
    </x:row>
    <x:row r="9" ht="64.80000305175781" hidden="0" customHeight="1">
      <x:c r="A9" s="10" t="str">
        <x:v>LINK-0008</x:v>
      </x:c>
      <x:c r="B9" s="10" t="n">
        <x:v>3</x:v>
      </x:c>
      <x:c r="C9" s="10" t="str">
        <x:v>Einreichung und Verwaltung des Gemeinsamen Antrags</x:v>
      </x:c>
      <x:c r="D9" s="10" t="str">
        <x:v>FAKT II – Förderprogramm für Agrarumwelt, Klimaschutz und Tierwohl</x:v>
      </x:c>
      <x:c r="E9" s="10" t="str">
        <x:v>Übermittlungsart</x:v>
      </x:c>
      <x:c r="F9" s="10" t="str">
        <x:v>FIONA</x:v>
      </x:c>
      <x:c r="G9" s="10" t="str">
        <x:v>https://fiona.landbw.de/</x:v>
      </x:c>
      <x:c r="H9" s="10" t="e">
        <x:f>HYPERLINK("https://fiona.landbw.de/","Quelle öffnen")</x:f>
        <x:v>HYPERLINK is not implemented. linkLocation=https://fiona.landbw.de/, friendlyName=Quelle öffnen</x:v>
      </x:c>
    </x:row>
    <x:row r="10" ht="86.4000015258789" hidden="0" customHeight="1">
      <x:c r="A10" s="10" t="str">
        <x:v>LINK-0009</x:v>
      </x:c>
      <x:c r="B10" s="10" t="n">
        <x:v>4</x:v>
      </x:c>
      <x:c r="C10" s="10" t="str">
        <x:v>Einreichung und Verwaltung des Gemeinsamen Antrags</x:v>
      </x:c>
      <x:c r="D10" s="10" t="str">
        <x:v>Ausgleichszulage (AZL)</x:v>
      </x:c>
      <x:c r="E10" s="10" t="str">
        <x:v>Grundlagendokument</x:v>
      </x:c>
      <x:c r="F10" s="10" t="str">
        <x:v>VwV AZL im Landesrecht BW</x:v>
      </x:c>
      <x:c r="G10" s="10" t="str">
        <x:v>https://landesrecht-bw.de/bsbw/document/VVBW-VVBW00022851</x:v>
      </x:c>
      <x:c r="H10" s="10" t="e">
        <x:f>HYPERLINK("https://landesrecht-bw.de/bsbw/document/VVBW-VVBW00022851","Quelle öffnen")</x:f>
        <x:v>HYPERLINK is not implemented. linkLocation=https://landesrecht-bw.de/bsbw/document/VVBW-VVBW00022851, friendlyName=Quelle öffnen</x:v>
      </x:c>
    </x:row>
    <x:row r="11" ht="97.19999694824219" hidden="0" customHeight="1">
      <x:c r="A11" s="10" t="str">
        <x:v>LINK-0010</x:v>
      </x:c>
      <x:c r="B11" s="10" t="n">
        <x:v>4</x:v>
      </x:c>
      <x:c r="C11" s="10" t="str">
        <x:v>Einreichung und Verwaltung des Gemeinsamen Antrags</x:v>
      </x:c>
      <x:c r="D11" s="10" t="str">
        <x:v>Ausgleichszulage (AZL)</x:v>
      </x:c>
      <x:c r="E11" s="10" t="str">
        <x:v>Grundlagendokument</x:v>
      </x:c>
      <x:c r="F11" s="10" t="str">
        <x:v>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G11" s="10" t="str">
        <x:v>https://eur-lex.europa.eu/eli/reg/2021/2115/oj</x:v>
      </x:c>
      <x:c r="H11" s="10" t="e">
        <x:f>HYPERLINK("https://eur-lex.europa.eu/eli/reg/2021/2115/oj","Quelle öffnen")</x:f>
        <x:v>HYPERLINK is not implemented. linkLocation=https://eur-lex.europa.eu/eli/reg/2021/2115/oj, friendlyName=Quelle öffnen</x:v>
      </x:c>
    </x:row>
    <x:row r="12" ht="64.80000305175781" hidden="0" customHeight="1">
      <x:c r="A12" s="10" t="str">
        <x:v>LINK-0011</x:v>
      </x:c>
      <x:c r="B12" s="10" t="n">
        <x:v>4</x:v>
      </x:c>
      <x:c r="C12" s="10" t="str">
        <x:v>Einreichung und Verwaltung des Gemeinsamen Antrags</x:v>
      </x:c>
      <x:c r="D12" s="10" t="str">
        <x:v>Ausgleichszulage (AZL)</x:v>
      </x:c>
      <x:c r="E12" s="10" t="str">
        <x:v>Übermittlungsart</x:v>
      </x:c>
      <x:c r="F12" s="10" t="str">
        <x:v>FIONA</x:v>
      </x:c>
      <x:c r="G12" s="10" t="str">
        <x:v>https://fiona.landbw.de/</x:v>
      </x:c>
      <x:c r="H12" s="10" t="e">
        <x:f>HYPERLINK("https://fiona.landbw.de/","Quelle öffnen")</x:f>
        <x:v>HYPERLINK is not implemented. linkLocation=https://fiona.landbw.de/, friendlyName=Quelle öffnen</x:v>
      </x:c>
    </x:row>
    <x:row r="13" ht="86.4000015258789" hidden="0" customHeight="1">
      <x:c r="A13" s="10" t="str">
        <x:v>LINK-0012</x:v>
      </x:c>
      <x:c r="B13" s="10" t="n">
        <x:v>5</x:v>
      </x:c>
      <x:c r="C13" s="10" t="str">
        <x:v>Einreichung und Verwaltung des Gemeinsamen Antrags</x:v>
      </x:c>
      <x:c r="D13" s="10" t="str">
        <x:v>Landschaftspflegerichtlinie (LPR‑A)</x:v>
      </x:c>
      <x:c r="E13" s="10" t="str">
        <x:v>Grundlagendokument</x:v>
      </x:c>
      <x:c r="F13" s="10" t="str">
        <x:v>LPR‑Richtlinie Teil A (VwV LPR‑A) im Landesrecht BW</x:v>
      </x:c>
      <x:c r="G13" s="10" t="str">
        <x:v>https://landesrecht-bw.de/bsbw/document/VVBW-VVBW00021077</x:v>
      </x:c>
      <x:c r="H13" s="10" t="e">
        <x:f>HYPERLINK("https://landesrecht-bw.de/bsbw/document/VVBW-VVBW00021077","Quelle öffnen")</x:f>
        <x:v>HYPERLINK is not implemented. linkLocation=https://landesrecht-bw.de/bsbw/document/VVBW-VVBW00021077, friendlyName=Quelle öffnen</x:v>
      </x:c>
    </x:row>
    <x:row r="14" ht="97.19999694824219" hidden="0" customHeight="1">
      <x:c r="A14" s="10" t="str">
        <x:v>LINK-0013</x:v>
      </x:c>
      <x:c r="B14" s="10" t="n">
        <x:v>5</x:v>
      </x:c>
      <x:c r="C14" s="10" t="str">
        <x:v>Einreichung und Verwaltung des Gemeinsamen Antrags</x:v>
      </x:c>
      <x:c r="D14" s="10" t="str">
        <x:v>Landschaftspflegerichtlinie (LPR‑A)</x:v>
      </x:c>
      <x:c r="E14" s="10" t="str">
        <x:v>Grundlagendokument</x:v>
      </x:c>
      <x:c r="F14" s="10" t="str">
        <x:v>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G14" s="10" t="str">
        <x:v>https://eur-lex.europa.eu/eli/reg/2021/2115/oj</x:v>
      </x:c>
      <x:c r="H14" s="10" t="e">
        <x:f>HYPERLINK("https://eur-lex.europa.eu/eli/reg/2021/2115/oj","Quelle öffnen")</x:f>
        <x:v>HYPERLINK is not implemented. linkLocation=https://eur-lex.europa.eu/eli/reg/2021/2115/oj, friendlyName=Quelle öffnen</x:v>
      </x:c>
    </x:row>
    <x:row r="15" ht="64.80000305175781" hidden="0" customHeight="1">
      <x:c r="A15" s="10" t="str">
        <x:v>LINK-0014</x:v>
      </x:c>
      <x:c r="B15" s="10" t="n">
        <x:v>5</x:v>
      </x:c>
      <x:c r="C15" s="10" t="str">
        <x:v>Einreichung und Verwaltung des Gemeinsamen Antrags</x:v>
      </x:c>
      <x:c r="D15" s="10" t="str">
        <x:v>Landschaftspflegerichtlinie (LPR‑A)</x:v>
      </x:c>
      <x:c r="E15" s="10" t="str">
        <x:v>Übermittlungsart</x:v>
      </x:c>
      <x:c r="F15" s="10" t="str">
        <x:v>FIONA</x:v>
      </x:c>
      <x:c r="G15" s="10" t="str">
        <x:v>https://fiona.landbw.de/</x:v>
      </x:c>
      <x:c r="H15" s="10" t="e">
        <x:f>HYPERLINK("https://fiona.landbw.de/","Quelle öffnen")</x:f>
        <x:v>HYPERLINK is not implemented. linkLocation=https://fiona.landbw.de/, friendlyName=Quelle öffnen</x:v>
      </x:c>
    </x:row>
    <x:row r="16" ht="86.4000015258789" hidden="0" customHeight="1">
      <x:c r="A16" s="10" t="str">
        <x:v>LINK-0015</x:v>
      </x:c>
      <x:c r="B16" s="10" t="n">
        <x:v>6</x:v>
      </x:c>
      <x:c r="C16" s="10" t="str">
        <x:v>Einreichung und Verwaltung des Gemeinsamen Antrags</x:v>
      </x:c>
      <x:c r="D16" s="10" t="str">
        <x:v>Umweltzulage Wald (UZW)</x:v>
      </x:c>
      <x:c r="E16" s="10" t="str">
        <x:v>Grundlagendokument</x:v>
      </x:c>
      <x:c r="F16" s="10" t="str">
        <x:v>VwV UZW im Landesrecht BW</x:v>
      </x:c>
      <x:c r="G16" s="10" t="str">
        <x:v>https://landesrecht-bw.de/bsbw/document/VVBW-VVBW00022853</x:v>
      </x:c>
      <x:c r="H16" s="10" t="e">
        <x:f>HYPERLINK("https://landesrecht-bw.de/bsbw/document/VVBW-VVBW00022853","Quelle öffnen")</x:f>
        <x:v>HYPERLINK is not implemented. linkLocation=https://landesrecht-bw.de/bsbw/document/VVBW-VVBW00022853, friendlyName=Quelle öffnen</x:v>
      </x:c>
    </x:row>
    <x:row r="17" ht="75.5999984741211" hidden="0" customHeight="1">
      <x:c r="A17" s="10" t="str">
        <x:v>LINK-0016</x:v>
      </x:c>
      <x:c r="B17" s="10" t="n">
        <x:v>6</x:v>
      </x:c>
      <x:c r="C17" s="10" t="str">
        <x:v>Einreichung und Verwaltung des Gemeinsamen Antrags</x:v>
      </x:c>
      <x:c r="D17" s="10" t="str">
        <x:v>Umweltzulage Wald (UZW)</x:v>
      </x:c>
      <x:c r="E17" s="10" t="str">
        <x:v>Grundlagendokument</x:v>
      </x:c>
      <x:c r="F17" s="10" t="str">
        <x:v>Richtlinie 92/43/EWG des Rates vom 21. Mai 1992 zur Erhaltung der natürlichen Lebensräume sowie der wildlebenden Tiere und Pflanzen</x:v>
      </x:c>
      <x:c r="G17" s="10" t="str">
        <x:v>https://eur-lex.europa.eu/eli/dir/1992/43/oj</x:v>
      </x:c>
      <x:c r="H17" s="10" t="e">
        <x:f>HYPERLINK("https://eur-lex.europa.eu/eli/dir/1992/43/oj","Quelle öffnen")</x:f>
        <x:v>HYPERLINK is not implemented. linkLocation=https://eur-lex.europa.eu/eli/dir/1992/43/oj, friendlyName=Quelle öffnen</x:v>
      </x:c>
    </x:row>
    <x:row r="18" ht="75.5999984741211" hidden="0" customHeight="1">
      <x:c r="A18" s="10" t="str">
        <x:v>LINK-0017</x:v>
      </x:c>
      <x:c r="B18" s="10" t="n">
        <x:v>6</x:v>
      </x:c>
      <x:c r="C18" s="10" t="str">
        <x:v>Einreichung und Verwaltung des Gemeinsamen Antrags</x:v>
      </x:c>
      <x:c r="D18" s="10" t="str">
        <x:v>Umweltzulage Wald (UZW)</x:v>
      </x:c>
      <x:c r="E18" s="10" t="str">
        <x:v>Grundlagendokument</x:v>
      </x:c>
      <x:c r="F18" s="10" t="str">
        <x:v>Richtlinie 2009/147/EG des Europäischen Parlaments und des Rates vom 30. November 2009 über die Erhaltung der wildlebenden Vogelarten</x:v>
      </x:c>
      <x:c r="G18" s="10" t="str">
        <x:v>https://eur-lex.europa.eu/eli/dir/2009/147/oj</x:v>
      </x:c>
      <x:c r="H18" s="10" t="e">
        <x:f>HYPERLINK("https://eur-lex.europa.eu/eli/dir/2009/147/oj","Quelle öffnen")</x:f>
        <x:v>HYPERLINK is not implemented. linkLocation=https://eur-lex.europa.eu/eli/dir/2009/147/oj, friendlyName=Quelle öffnen</x:v>
      </x:c>
    </x:row>
    <x:row r="19" ht="64.80000305175781" hidden="0" customHeight="1">
      <x:c r="A19" s="10" t="str">
        <x:v>LINK-0018</x:v>
      </x:c>
      <x:c r="B19" s="10" t="n">
        <x:v>6</x:v>
      </x:c>
      <x:c r="C19" s="10" t="str">
        <x:v>Einreichung und Verwaltung des Gemeinsamen Antrags</x:v>
      </x:c>
      <x:c r="D19" s="10" t="str">
        <x:v>Umweltzulage Wald (UZW)</x:v>
      </x:c>
      <x:c r="E19" s="10" t="str">
        <x:v>Übermittlungsart</x:v>
      </x:c>
      <x:c r="F19" s="10" t="str">
        <x:v>FIONA</x:v>
      </x:c>
      <x:c r="G19" s="10" t="str">
        <x:v>https://fiona.landbw.de/</x:v>
      </x:c>
      <x:c r="H19" s="10" t="e">
        <x:f>HYPERLINK("https://fiona.landbw.de/","Quelle öffnen")</x:f>
        <x:v>HYPERLINK is not implemented. linkLocation=https://fiona.landbw.de/, friendlyName=Quelle öffnen</x:v>
      </x:c>
    </x:row>
    <x:row r="20" ht="86.4000015258789" hidden="0" customHeight="1">
      <x:c r="A20" s="10" t="str">
        <x:v>LINK-0019</x:v>
      </x:c>
      <x:c r="B20" s="10" t="n">
        <x:v>7</x:v>
      </x:c>
      <x:c r="C20" s="10" t="str">
        <x:v>Einreichung und Verwaltung des Gemeinsamen Antrags</x:v>
      </x:c>
      <x:c r="D20" s="10" t="str">
        <x:v>Umstrukturierung und Umstellung von Rebflächen (UuU)</x:v>
      </x:c>
      <x:c r="E20" s="10" t="str">
        <x:v>Grundlagendokument</x:v>
      </x:c>
      <x:c r="F20" s="10" t="str">
        <x:v>VwV Förderung Weinbau (UuU) im Landesrecht BW</x:v>
      </x:c>
      <x:c r="G20" s="10" t="str">
        <x:v>https://landesrecht-bw.de/bsbw/document/VVBW-VVBW00035850</x:v>
      </x:c>
      <x:c r="H20" s="10" t="e">
        <x:f>HYPERLINK("https://landesrecht-bw.de/bsbw/document/VVBW-VVBW00035850","Quelle öffnen")</x:f>
        <x:v>HYPERLINK is not implemented. linkLocation=https://landesrecht-bw.de/bsbw/document/VVBW-VVBW00035850, friendlyName=Quelle öffnen</x:v>
      </x:c>
    </x:row>
    <x:row r="21" ht="97.19999694824219" hidden="0" customHeight="1">
      <x:c r="A21" s="10" t="str">
        <x:v>LINK-0020</x:v>
      </x:c>
      <x:c r="B21" s="10" t="n">
        <x:v>7</x:v>
      </x:c>
      <x:c r="C21" s="10" t="str">
        <x:v>Einreichung und Verwaltung des Gemeinsamen Antrags</x:v>
      </x:c>
      <x:c r="D21" s="10" t="str">
        <x:v>Umstrukturierung und Umstellung von Rebflächen (UuU)</x:v>
      </x:c>
      <x:c r="E21" s="10" t="str">
        <x:v>Grundlagendokument</x:v>
      </x:c>
      <x:c r="F21" s="10" t="str">
        <x:v>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G21" s="10" t="str">
        <x:v>https://eur-lex.europa.eu/eli/reg/2021/2115/oj</x:v>
      </x:c>
      <x:c r="H21" s="10" t="e">
        <x:f>HYPERLINK("https://eur-lex.europa.eu/eli/reg/2021/2115/oj","Quelle öffnen")</x:f>
        <x:v>HYPERLINK is not implemented. linkLocation=https://eur-lex.europa.eu/eli/reg/2021/2115/oj, friendlyName=Quelle öffnen</x:v>
      </x:c>
    </x:row>
    <x:row r="22" ht="64.80000305175781" hidden="0" customHeight="1">
      <x:c r="A22" s="10" t="str">
        <x:v>LINK-0021</x:v>
      </x:c>
      <x:c r="B22" s="10" t="n">
        <x:v>7</x:v>
      </x:c>
      <x:c r="C22" s="10" t="str">
        <x:v>Einreichung und Verwaltung des Gemeinsamen Antrags</x:v>
      </x:c>
      <x:c r="D22" s="10" t="str">
        <x:v>Umstrukturierung und Umstellung von Rebflächen (UuU)</x:v>
      </x:c>
      <x:c r="E22" s="10" t="str">
        <x:v>Übermittlungsart</x:v>
      </x:c>
      <x:c r="F22" s="10" t="str">
        <x:v>FIONA</x:v>
      </x:c>
      <x:c r="G22" s="10" t="str">
        <x:v>https://fiona.landbw.de/</x:v>
      </x:c>
      <x:c r="H22" s="10" t="e">
        <x:f>HYPERLINK("https://fiona.landbw.de/","Quelle öffnen")</x:f>
        <x:v>HYPERLINK is not implemented. linkLocation=https://fiona.landbw.de/, friendlyName=Quelle öffnen</x:v>
      </x:c>
    </x:row>
    <x:row r="23" ht="86.4000015258789" hidden="0" customHeight="1">
      <x:c r="A23" s="10" t="str">
        <x:v>LINK-0022</x:v>
      </x:c>
      <x:c r="B23" s="10" t="n">
        <x:v>8</x:v>
      </x:c>
      <x:c r="C23" s="10" t="str">
        <x:v>Einreichung und Verwaltung des Gemeinsamen Antrags</x:v>
      </x:c>
      <x:c r="D23" s="10" t="str">
        <x:v>Pheromonverfahren im Weinbau (PHW)</x:v>
      </x:c>
      <x:c r="E23" s="10" t="str">
        <x:v>Grundlagendokument</x:v>
      </x:c>
      <x:c r="F23" s="10" t="str">
        <x:v>VwV PHW (Handbuch Pheromonförderung) im Landesrecht BW</x:v>
      </x:c>
      <x:c r="G23" s="10" t="str">
        <x:v>https://landesrecht-bw.de/bsbw/document/VVBW-VVBW00025313</x:v>
      </x:c>
      <x:c r="H23" s="10" t="e">
        <x:f>HYPERLINK("https://landesrecht-bw.de/bsbw/document/VVBW-VVBW00025313","Quelle öffnen")</x:f>
        <x:v>HYPERLINK is not implemented. linkLocation=https://landesrecht-bw.de/bsbw/document/VVBW-VVBW00025313, friendlyName=Quelle öffnen</x:v>
      </x:c>
    </x:row>
    <x:row r="24" ht="75.5999984741211" hidden="0" customHeight="1">
      <x:c r="A24" s="10" t="str">
        <x:v>LINK-0023</x:v>
      </x:c>
      <x:c r="B24" s="10" t="n">
        <x:v>8</x:v>
      </x:c>
      <x:c r="C24" s="10" t="str">
        <x:v>Einreichung und Verwaltung des Gemeinsamen Antrags</x:v>
      </x:c>
      <x:c r="D24" s="10" t="str">
        <x:v>Pheromonverfahren im Weinbau (PHW)</x:v>
      </x:c>
      <x:c r="E24" s="10" t="str">
        <x:v>Grundlagendokument</x:v>
      </x:c>
      <x:c r="F24" s="10" t="str">
        <x:v>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v>
      </x:c>
      <x:c r="G24" s="10" t="str">
        <x:v>https://eur-lex.europa.eu/eli/reg/2022/2472/oj</x:v>
      </x:c>
      <x:c r="H24" s="10" t="e">
        <x:f>HYPERLINK("https://eur-lex.europa.eu/eli/reg/2022/2472/oj","Quelle öffnen")</x:f>
        <x:v>HYPERLINK is not implemented. linkLocation=https://eur-lex.europa.eu/eli/reg/2022/2472/oj, friendlyName=Quelle öffnen</x:v>
      </x:c>
    </x:row>
    <x:row r="25" ht="64.80000305175781" hidden="0" customHeight="1">
      <x:c r="A25" s="10" t="str">
        <x:v>LINK-0024</x:v>
      </x:c>
      <x:c r="B25" s="10" t="n">
        <x:v>8</x:v>
      </x:c>
      <x:c r="C25" s="10" t="str">
        <x:v>Einreichung und Verwaltung des Gemeinsamen Antrags</x:v>
      </x:c>
      <x:c r="D25" s="10" t="str">
        <x:v>Pheromonverfahren im Weinbau (PHW)</x:v>
      </x:c>
      <x:c r="E25" s="10" t="str">
        <x:v>Übermittlungsart</x:v>
      </x:c>
      <x:c r="F25" s="10" t="str">
        <x:v>FIONA</x:v>
      </x:c>
      <x:c r="G25" s="10" t="str">
        <x:v>https://fiona.landbw.de/</x:v>
      </x:c>
      <x:c r="H25" s="10" t="e">
        <x:f>HYPERLINK("https://fiona.landbw.de/","Quelle öffnen")</x:f>
        <x:v>HYPERLINK is not implemented. linkLocation=https://fiona.landbw.de/, friendlyName=Quelle öffnen</x:v>
      </x:c>
    </x:row>
    <x:row r="26" ht="86.4000015258789" hidden="0" customHeight="1">
      <x:c r="A26" s="10" t="str">
        <x:v>LINK-0025</x:v>
      </x:c>
      <x:c r="B26" s="10" t="n">
        <x:v>9</x:v>
      </x:c>
      <x:c r="C26" s="10" t="str">
        <x:v>Einreichung und Verwaltung des Gemeinsamen Antrags</x:v>
      </x:c>
      <x:c r="D26" s="10" t="str">
        <x:v>Handarbeitsweinbau (HWB)</x:v>
      </x:c>
      <x:c r="E26" s="10" t="str">
        <x:v>Grundlagendokument</x:v>
      </x:c>
      <x:c r="F26" s="10" t="str">
        <x:v>VwV HWB im Landesrecht BW</x:v>
      </x:c>
      <x:c r="G26" s="10" t="str">
        <x:v>https://landesrecht-bw.de/bsbw/document/VVBW-VVBW00011686</x:v>
      </x:c>
      <x:c r="H26" s="10" t="e">
        <x:f>HYPERLINK("https://landesrecht-bw.de/bsbw/document/VVBW-VVBW00011686","Quelle öffnen")</x:f>
        <x:v>HYPERLINK is not implemented. linkLocation=https://landesrecht-bw.de/bsbw/document/VVBW-VVBW00011686, friendlyName=Quelle öffnen</x:v>
      </x:c>
    </x:row>
    <x:row r="27" ht="75.5999984741211" hidden="0" customHeight="1">
      <x:c r="A27" s="10" t="str">
        <x:v>LINK-0026</x:v>
      </x:c>
      <x:c r="B27" s="10" t="n">
        <x:v>9</x:v>
      </x:c>
      <x:c r="C27" s="10" t="str">
        <x:v>Einreichung und Verwaltung des Gemeinsamen Antrags</x:v>
      </x:c>
      <x:c r="D27" s="10" t="str">
        <x:v>Handarbeitsweinbau (HWB)</x:v>
      </x:c>
      <x:c r="E27" s="10" t="str">
        <x:v>Grundlagendokument</x:v>
      </x:c>
      <x:c r="F27" s="10" t="str">
        <x:v>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x:v>
      </x:c>
      <x:c r="G27" s="10" t="str">
        <x:v>https://eur-lex.europa.eu/eli/reg/2022/2472/oj</x:v>
      </x:c>
      <x:c r="H27" s="10" t="e">
        <x:f>HYPERLINK("https://eur-lex.europa.eu/eli/reg/2022/2472/oj","Quelle öffnen")</x:f>
        <x:v>HYPERLINK is not implemented. linkLocation=https://eur-lex.europa.eu/eli/reg/2022/2472/oj, friendlyName=Quelle öffnen</x:v>
      </x:c>
    </x:row>
    <x:row r="28" ht="64.80000305175781" hidden="0" customHeight="1">
      <x:c r="A28" s="10" t="str">
        <x:v>LINK-0027</x:v>
      </x:c>
      <x:c r="B28" s="10" t="n">
        <x:v>9</x:v>
      </x:c>
      <x:c r="C28" s="10" t="str">
        <x:v>Einreichung und Verwaltung des Gemeinsamen Antrags</x:v>
      </x:c>
      <x:c r="D28" s="10" t="str">
        <x:v>Handarbeitsweinbau (HWB)</x:v>
      </x:c>
      <x:c r="E28" s="10" t="str">
        <x:v>Übermittlungsart</x:v>
      </x:c>
      <x:c r="F28" s="10" t="str">
        <x:v>FIONA</x:v>
      </x:c>
      <x:c r="G28" s="10" t="str">
        <x:v>https://fiona.landbw.de/</x:v>
      </x:c>
      <x:c r="H28" s="10" t="e">
        <x:f>HYPERLINK("https://fiona.landbw.de/","Quelle öffnen")</x:f>
        <x:v>HYPERLINK is not implemented. linkLocation=https://fiona.landbw.de/, friendlyName=Quelle öffnen</x:v>
      </x:c>
    </x:row>
    <x:row r="29" ht="86.4000015258789" hidden="0" customHeight="1">
      <x:c r="A29" s="10" t="str">
        <x:v>LINK-0028</x:v>
      </x:c>
      <x:c r="B29" s="10" t="n">
        <x:v>10</x:v>
      </x:c>
      <x:c r="C29" s="10" t="str">
        <x:v>Einreichung und Verwaltung des Gemeinsamen Antrags</x:v>
      </x:c>
      <x:c r="D29" s="10" t="str">
        <x:v>Steillagenförderung Dauergrünland (SLG)</x:v>
      </x:c>
      <x:c r="E29" s="10" t="str">
        <x:v>Grundlagendokument</x:v>
      </x:c>
      <x:c r="F29" s="10" t="str">
        <x:v>VwV SLG im Landesrecht BW</x:v>
      </x:c>
      <x:c r="G29" s="10" t="str">
        <x:v>https://landesrecht-bw.de/bsbw/document/VVBW-VVBW00024685</x:v>
      </x:c>
      <x:c r="H29" s="10" t="e">
        <x:f>HYPERLINK("https://landesrecht-bw.de/bsbw/document/VVBW-VVBW00024685","Quelle öffnen")</x:f>
        <x:v>HYPERLINK is not implemented. linkLocation=https://landesrecht-bw.de/bsbw/document/VVBW-VVBW00024685, friendlyName=Quelle öffnen</x:v>
      </x:c>
    </x:row>
    <x:row r="30" ht="75.5999984741211" hidden="0" customHeight="1">
      <x:c r="A30" s="10" t="str">
        <x:v>LINK-0029</x:v>
      </x:c>
      <x:c r="B30" s="10" t="n">
        <x:v>10</x:v>
      </x:c>
      <x:c r="C30" s="10" t="str">
        <x:v>Einreichung und Verwaltung des Gemeinsamen Antrags</x:v>
      </x:c>
      <x:c r="D30" s="10" t="str">
        <x:v>Steillagenförderung Dauergrünland (SLG)</x:v>
      </x:c>
      <x:c r="E30" s="10" t="str">
        <x:v>Grundlagendokument</x:v>
      </x:c>
      <x:c r="F30" s="10" t="str">
        <x:v>Verordnung (EU) Nr. 1408/2013 der Kommission vom 18. Dezember 2013 über die Anwendung der Artikel 107 und 108 des Vertrags über die Arbeitsweise der Europäischen Union auf De-minimis-Beihilfen im Agrarsektor</x:v>
      </x:c>
      <x:c r="G30" s="10" t="str">
        <x:v>https://eur-lex.europa.eu/eli/reg/2013/1408/oj</x:v>
      </x:c>
      <x:c r="H30" s="10" t="e">
        <x:f>HYPERLINK("https://eur-lex.europa.eu/eli/reg/2013/1408/oj","Quelle öffnen")</x:f>
        <x:v>HYPERLINK is not implemented. linkLocation=https://eur-lex.europa.eu/eli/reg/2013/1408/oj, friendlyName=Quelle öffnen</x:v>
      </x:c>
    </x:row>
    <x:row r="31" ht="64.80000305175781" hidden="0" customHeight="1">
      <x:c r="A31" s="10" t="str">
        <x:v>LINK-0030</x:v>
      </x:c>
      <x:c r="B31" s="10" t="n">
        <x:v>10</x:v>
      </x:c>
      <x:c r="C31" s="10" t="str">
        <x:v>Einreichung und Verwaltung des Gemeinsamen Antrags</x:v>
      </x:c>
      <x:c r="D31" s="10" t="str">
        <x:v>Steillagenförderung Dauergrünland (SLG)</x:v>
      </x:c>
      <x:c r="E31" s="10" t="str">
        <x:v>Übermittlungsart</x:v>
      </x:c>
      <x:c r="F31" s="10" t="str">
        <x:v>FIONA</x:v>
      </x:c>
      <x:c r="G31" s="10" t="str">
        <x:v>https://fiona.landbw.de/</x:v>
      </x:c>
      <x:c r="H31" s="10" t="e">
        <x:f>HYPERLINK("https://fiona.landbw.de/","Quelle öffnen")</x:f>
        <x:v>HYPERLINK is not implemented. linkLocation=https://fiona.landbw.de/, friendlyName=Quelle öffnen</x:v>
      </x:c>
    </x:row>
    <x:row r="32" ht="86.4000015258789" hidden="0" customHeight="1">
      <x:c r="A32" s="10" t="str">
        <x:v>LINK-0031</x:v>
      </x:c>
      <x:c r="B32" s="10" t="n">
        <x:v>11</x:v>
      </x:c>
      <x:c r="C32" s="10" t="str">
        <x:v>Einreichung und Verwaltung des Gemeinsamen Antrags</x:v>
      </x:c>
      <x:c r="D32" s="10" t="str">
        <x:v>Erschwernisausgleich Pflanzenschutz (EAPS)</x:v>
      </x:c>
      <x:c r="E32" s="10" t="str">
        <x:v>Grundlagendokument</x:v>
      </x:c>
      <x:c r="F32" s="10" t="str">
        <x:v>VwV EAPS im Landesrecht BW</x:v>
      </x:c>
      <x:c r="G32" s="10" t="str">
        <x:v>https://landesrecht-bw.de/bsbw/document/VVBW-VVBW00025314</x:v>
      </x:c>
      <x:c r="H32" s="10" t="e">
        <x:f>HYPERLINK("https://landesrecht-bw.de/bsbw/document/VVBW-VVBW00025314","Quelle öffnen")</x:f>
        <x:v>HYPERLINK is not implemented. linkLocation=https://landesrecht-bw.de/bsbw/document/VVBW-VVBW00025314, friendlyName=Quelle öffnen</x:v>
      </x:c>
    </x:row>
    <x:row r="33" ht="86.4000015258789" hidden="0" customHeight="1">
      <x:c r="A33" s="10" t="str">
        <x:v>LINK-0032</x:v>
      </x:c>
      <x:c r="B33" s="10" t="n">
        <x:v>11</x:v>
      </x:c>
      <x:c r="C33" s="10" t="str">
        <x:v>Einreichung und Verwaltung des Gemeinsamen Antrags</x:v>
      </x:c>
      <x:c r="D33" s="10" t="str">
        <x:v>Erschwernisausgleich Pflanzenschutz (EAPS)</x:v>
      </x:c>
      <x:c r="E33" s="10" t="str">
        <x:v>Grundlagendokument</x:v>
      </x:c>
      <x:c r="F33" s="10" t="str">
        <x:v>Verordnung über Anwendungsverbote für Pflanzenschutzmittel (Pflanzenschutz-Anwendungsverordnung - PflSchAnwV)</x:v>
      </x:c>
      <x:c r="G33" s="10" t="str">
        <x:v>https://www.gesetze-im-internet.de/pflschanwv_2022/index.html</x:v>
      </x:c>
      <x:c r="H33" s="10" t="e">
        <x:f>HYPERLINK("https://www.gesetze-im-internet.de/pflschanwv_2022/index.html","Quelle öffnen")</x:f>
        <x:v>HYPERLINK is not implemented. linkLocation=https://www.gesetze-im-internet.de/pflschanwv_2022/index.html, friendlyName=Quelle öffnen</x:v>
      </x:c>
    </x:row>
    <x:row r="34" ht="75.5999984741211" hidden="0" customHeight="1">
      <x:c r="A34" s="10" t="str">
        <x:v>LINK-0033</x:v>
      </x:c>
      <x:c r="B34" s="10" t="n">
        <x:v>11</x:v>
      </x:c>
      <x:c r="C34" s="10" t="str">
        <x:v>Einreichung und Verwaltung des Gemeinsamen Antrags</x:v>
      </x:c>
      <x:c r="D34" s="10" t="str">
        <x:v>Erschwernisausgleich Pflanzenschutz (EAPS)</x:v>
      </x:c>
      <x:c r="E34" s="10" t="str">
        <x:v>Grundlagendokument</x:v>
      </x:c>
      <x:c r="F34" s="10" t="str">
        <x:v>Gesetz über Naturschutz und Landschaftspflege (Bundesnaturschutzgesetz - BNatSchG)</x:v>
      </x:c>
      <x:c r="G34" s="10" t="str">
        <x:v>https://www.gesetze-im-internet.de/bnatschg_2009/__30.html</x:v>
      </x:c>
      <x:c r="H34" s="10" t="e">
        <x:f>HYPERLINK("https://www.gesetze-im-internet.de/bnatschg_2009/__30.html","Quelle öffnen")</x:f>
        <x:v>HYPERLINK is not implemented. linkLocation=https://www.gesetze-im-internet.de/bnatschg_2009/__30.html, friendlyName=Quelle öffnen</x:v>
      </x:c>
    </x:row>
    <x:row r="35" ht="97.19999694824219" hidden="0" customHeight="1">
      <x:c r="A35" s="10" t="str">
        <x:v>LINK-0034</x:v>
      </x:c>
      <x:c r="B35" s="10" t="n">
        <x:v>11</x:v>
      </x:c>
      <x:c r="C35" s="10" t="str">
        <x:v>Einreichung und Verwaltung des Gemeinsamen Antrags</x:v>
      </x:c>
      <x:c r="D35" s="10" t="str">
        <x:v>Erschwernisausgleich Pflanzenschutz (EAPS)</x:v>
      </x:c>
      <x:c r="E35" s="10" t="str">
        <x:v>Grundlagendokument</x:v>
      </x:c>
      <x:c r="F35" s="10" t="str">
        <x:v>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x:v>
      </x:c>
      <x:c r="G35" s="10" t="str">
        <x:v>https://eur-lex.europa.eu/eli/reg/2021/2115/oj</x:v>
      </x:c>
      <x:c r="H35" s="10" t="e">
        <x:f>HYPERLINK("https://eur-lex.europa.eu/eli/reg/2021/2115/oj","Quelle öffnen")</x:f>
        <x:v>HYPERLINK is not implemented. linkLocation=https://eur-lex.europa.eu/eli/reg/2021/2115/oj, friendlyName=Quelle öffnen</x:v>
      </x:c>
    </x:row>
    <x:row r="36" ht="75.5999984741211" hidden="0" customHeight="1">
      <x:c r="A36" s="10" t="str">
        <x:v>LINK-0035</x:v>
      </x:c>
      <x:c r="B36" s="10" t="n">
        <x:v>11</x:v>
      </x:c>
      <x:c r="C36" s="10" t="str">
        <x:v>Einreichung und Verwaltung des Gemeinsamen Antrags</x:v>
      </x:c>
      <x:c r="D36" s="10" t="str">
        <x:v>Erschwernisausgleich Pflanzenschutz (EAPS)</x:v>
      </x:c>
      <x:c r="E36" s="10" t="str">
        <x:v>Grundlagendokument</x:v>
      </x:c>
      <x:c r="F36" s="10" t="str">
        <x:v>Richtlinie 92/43/EWG des Rates vom 21. Mai 1992 zur Erhaltung der natürlichen Lebensräume sowie der wildlebenden Tiere und Pflanzen</x:v>
      </x:c>
      <x:c r="G36" s="10" t="str">
        <x:v>https://eur-lex.europa.eu/eli/dir/1992/43/oj</x:v>
      </x:c>
      <x:c r="H36" s="10" t="e">
        <x:f>HYPERLINK("https://eur-lex.europa.eu/eli/dir/1992/43/oj","Quelle öffnen")</x:f>
        <x:v>HYPERLINK is not implemented. linkLocation=https://eur-lex.europa.eu/eli/dir/1992/43/oj, friendlyName=Quelle öffnen</x:v>
      </x:c>
    </x:row>
    <x:row r="37" ht="75.5999984741211" hidden="0" customHeight="1">
      <x:c r="A37" s="10" t="str">
        <x:v>LINK-0036</x:v>
      </x:c>
      <x:c r="B37" s="10" t="n">
        <x:v>11</x:v>
      </x:c>
      <x:c r="C37" s="10" t="str">
        <x:v>Einreichung und Verwaltung des Gemeinsamen Antrags</x:v>
      </x:c>
      <x:c r="D37" s="10" t="str">
        <x:v>Erschwernisausgleich Pflanzenschutz (EAPS)</x:v>
      </x:c>
      <x:c r="E37" s="10" t="str">
        <x:v>Grundlagendokument</x:v>
      </x:c>
      <x:c r="F37" s="10" t="str">
        <x:v>Richtlinie 2009/147/EG des Europäischen Parlaments und des Rates vom 30. November 2009 über die Erhaltung der wildlebenden Vogelarten</x:v>
      </x:c>
      <x:c r="G37" s="10" t="str">
        <x:v>https://eur-lex.europa.eu/eli/dir/2009/147/oj</x:v>
      </x:c>
      <x:c r="H37" s="10" t="e">
        <x:f>HYPERLINK("https://eur-lex.europa.eu/eli/dir/2009/147/oj","Quelle öffnen")</x:f>
        <x:v>HYPERLINK is not implemented. linkLocation=https://eur-lex.europa.eu/eli/dir/2009/147/oj, friendlyName=Quelle öffnen</x:v>
      </x:c>
    </x:row>
    <x:row r="38" ht="64.80000305175781" hidden="0" customHeight="1">
      <x:c r="A38" s="10" t="str">
        <x:v>LINK-0037</x:v>
      </x:c>
      <x:c r="B38" s="10" t="n">
        <x:v>11</x:v>
      </x:c>
      <x:c r="C38" s="10" t="str">
        <x:v>Einreichung und Verwaltung des Gemeinsamen Antrags</x:v>
      </x:c>
      <x:c r="D38" s="10" t="str">
        <x:v>Erschwernisausgleich Pflanzenschutz (EAPS)</x:v>
      </x:c>
      <x:c r="E38" s="10" t="str">
        <x:v>Übermittlungsart</x:v>
      </x:c>
      <x:c r="F38" s="10" t="str">
        <x:v>FIONA</x:v>
      </x:c>
      <x:c r="G38" s="10" t="str">
        <x:v>https://fiona.landbw.de/</x:v>
      </x:c>
      <x:c r="H38" s="10" t="e">
        <x:f>HYPERLINK("https://fiona.landbw.de/","Quelle öffnen")</x:f>
        <x:v>HYPERLINK is not implemented. linkLocation=https://fiona.landbw.de/, friendlyName=Quelle öffnen</x:v>
      </x:c>
    </x:row>
    <x:row r="39" ht="86.4000015258789" hidden="0" customHeight="1">
      <x:c r="A39" s="10" t="str">
        <x:v>LINK-0038</x:v>
      </x:c>
      <x:c r="B39" s="10" t="n">
        <x:v>12</x:v>
      </x:c>
      <x:c r="C39" s="10" t="str">
        <x:v>Einreichung und Verwaltung des Gemeinsamen Antrags</x:v>
      </x:c>
      <x:c r="D39" s="10" t="str">
        <x:v>SchALVO – Ausgleich für Nutzungsbeschränkungen in Wasserschutzgebieten</x:v>
      </x:c>
      <x:c r="E39" s="10" t="str">
        <x:v>Grundlagendokument</x:v>
      </x:c>
      <x:c r="F39" s="10" t="str">
        <x:v>SchALVO (Landesrecht BW)</x:v>
      </x:c>
      <x:c r="G39" s="10" t="str">
        <x:v>https://landesrecht-bw.de/bsbw/document/jlr-SchALVOBW2001rahmen</x:v>
      </x:c>
      <x:c r="H39" s="10" t="e">
        <x:f>HYPERLINK("https://landesrecht-bw.de/bsbw/document/jlr-SchALVOBW2001rahmen","Quelle öffnen")</x:f>
        <x:v>HYPERLINK is not implemented. linkLocation=https://landesrecht-bw.de/bsbw/document/jlr-SchALVOBW2001rahmen, friendlyName=Quelle öffnen</x:v>
      </x:c>
    </x:row>
    <x:row r="40" ht="86.4000015258789" hidden="0" customHeight="1">
      <x:c r="A40" s="10" t="str">
        <x:v>LINK-0039</x:v>
      </x:c>
      <x:c r="B40" s="10" t="n">
        <x:v>12</x:v>
      </x:c>
      <x:c r="C40" s="10" t="str">
        <x:v>Einreichung und Verwaltung des Gemeinsamen Antrags</x:v>
      </x:c>
      <x:c r="D40" s="10" t="str">
        <x:v>SchALVO – Ausgleich für Nutzungsbeschränkungen in Wasserschutzgebieten</x:v>
      </x:c>
      <x:c r="E40" s="10" t="str">
        <x:v>Grundlagendokument</x:v>
      </x:c>
      <x:c r="F40" s="10" t="str">
        <x:v>Richtlinie 91/676/EWG des Rates vom 12. Dezember 1991 zum Schutz der Gewässer vor Verunreinigung durch Nitrat aus landwirtschaftlichen Quellen</x:v>
      </x:c>
      <x:c r="G40" s="10" t="str">
        <x:v>https://eur-lex.europa.eu/legal-content/DE/TXT/?uri=celex%3A31991L0676</x:v>
      </x:c>
      <x:c r="H40" s="10" t="e">
        <x:f>HYPERLINK("https://eur-lex.europa.eu/legal-content/DE/TXT/?uri=celex%3A31991L0676","Quelle öffnen")</x:f>
        <x:v>HYPERLINK is not implemented. linkLocation=https://eur-lex.europa.eu/legal-content/DE/TXT/?uri=celex%3A31991L0676, friendlyName=Quelle öffnen</x:v>
      </x:c>
    </x:row>
    <x:row r="41" ht="75.5999984741211" hidden="0" customHeight="1">
      <x:c r="A41" s="10" t="str">
        <x:v>LINK-0040</x:v>
      </x:c>
      <x:c r="B41" s="10" t="n">
        <x:v>12</x:v>
      </x:c>
      <x:c r="C41" s="10" t="str">
        <x:v>Einreichung und Verwaltung des Gemeinsamen Antrags</x:v>
      </x:c>
      <x:c r="D41" s="10" t="str">
        <x:v>SchALVO – Ausgleich für Nutzungsbeschränkungen in Wasserschutzgebieten</x:v>
      </x:c>
      <x:c r="E41" s="10" t="str">
        <x:v>Grundlagendokument</x:v>
      </x:c>
      <x:c r="F41" s="10" t="str">
        <x:v>Beschluss (EU) 2019/1885 der Kommission vom 12. November 2019 über die Beihilferegelung SA.45974 (2019/N) - Deutschland - Ausgleichszahlungen in Wasserschutzgebieten in Baden-Württemberg</x:v>
      </x:c>
      <x:c r="G41" s="10" t="str">
        <x:v>https://eur-lex.europa.eu/eli/dec/2019/1885/oj</x:v>
      </x:c>
      <x:c r="H41" s="10" t="e">
        <x:f>HYPERLINK("https://eur-lex.europa.eu/eli/dec/2019/1885/oj","Quelle öffnen")</x:f>
        <x:v>HYPERLINK is not implemented. linkLocation=https://eur-lex.europa.eu/eli/dec/2019/1885/oj, friendlyName=Quelle öffnen</x:v>
      </x:c>
    </x:row>
    <x:row r="42" ht="64.80000305175781" hidden="0" customHeight="1">
      <x:c r="A42" s="10" t="str">
        <x:v>LINK-0041</x:v>
      </x:c>
      <x:c r="B42" s="10" t="n">
        <x:v>12</x:v>
      </x:c>
      <x:c r="C42" s="10" t="str">
        <x:v>Einreichung und Verwaltung des Gemeinsamen Antrags</x:v>
      </x:c>
      <x:c r="D42" s="10" t="str">
        <x:v>SchALVO – Ausgleich für Nutzungsbeschränkungen in Wasserschutzgebieten</x:v>
      </x:c>
      <x:c r="E42" s="10" t="str">
        <x:v>Übermittlungsart</x:v>
      </x:c>
      <x:c r="F42" s="10" t="str">
        <x:v>FIONA</x:v>
      </x:c>
      <x:c r="G42" s="10" t="str">
        <x:v>https://fiona.landbw.de/</x:v>
      </x:c>
      <x:c r="H42" s="10" t="e">
        <x:f>HYPERLINK("https://fiona.landbw.de/","Quelle öffnen")</x:f>
        <x:v>HYPERLINK is not implemented. linkLocation=https://fiona.landbw.de/, friendlyName=Quelle öffnen</x:v>
      </x:c>
    </x:row>
    <x:row r="43" ht="75.5999984741211" hidden="0" customHeight="1">
      <x:c r="A43" s="10" t="str">
        <x:v>LINK-0042</x:v>
      </x:c>
      <x:c r="B43" s="10" t="n">
        <x:v>13</x:v>
      </x:c>
      <x:c r="C43" s="10" t="str">
        <x:v>Einreichung und Verwaltung des Gemeinsamen Antrags</x:v>
      </x:c>
      <x:c r="D43" s="10" t="str">
        <x:v>Cross‑Compliance/CC‑Verpflichtungen (WBF)</x:v>
      </x:c>
      <x:c r="E43" s="10" t="str">
        <x:v>Grundlagendokument</x:v>
      </x:c>
      <x:c r="F43" s="10" t="str">
        <x:v>Verordnung (EU) Nr. 1308/2013 des Europäischen Parlaments und des Rates vom 17. Dezember 2013 über eine gemeinsame Marktorganisation für landwirtschaftliche Erzeugnisse</x:v>
      </x:c>
      <x:c r="G43" s="10" t="str">
        <x:v>https://eur-lex.europa.eu/eli/reg/2013/1308/oj</x:v>
      </x:c>
      <x:c r="H43" s="10" t="e">
        <x:f>HYPERLINK("https://eur-lex.europa.eu/eli/reg/2013/1308/oj","Quelle öffnen")</x:f>
        <x:v>HYPERLINK is not implemented. linkLocation=https://eur-lex.europa.eu/eli/reg/2013/1308/oj, friendlyName=Quelle öffnen</x:v>
      </x:c>
    </x:row>
    <x:row r="44" ht="75.5999984741211" hidden="0" customHeight="1">
      <x:c r="A44" s="10" t="str">
        <x:v>LINK-0043</x:v>
      </x:c>
      <x:c r="B44" s="10" t="n">
        <x:v>13</x:v>
      </x:c>
      <x:c r="C44" s="10" t="str">
        <x:v>Einreichung und Verwaltung des Gemeinsamen Antrags</x:v>
      </x:c>
      <x:c r="D44" s="10" t="str">
        <x:v>Cross‑Compliance/CC‑Verpflichtungen (WBF)</x:v>
      </x:c>
      <x:c r="E44" s="10" t="str">
        <x:v>Grundlagendokument</x:v>
      </x:c>
      <x:c r="F44" s="10" t="str">
        <x:v>Verordnung (EU) 2021/2116 des Europäischen Parlaments und des Rates vom 2. Dezember 2021 über die Finanzierung, Verwaltung und Überwachung der Gemeinsamen Agrarpolitik und zur Aufhebung der Verordnung (EU) Nr. 1306/2013</x:v>
      </x:c>
      <x:c r="G44" s="10" t="str">
        <x:v>https://eur-lex.europa.eu/eli/reg/2021/2116/oj</x:v>
      </x:c>
      <x:c r="H44" s="10" t="e">
        <x:f>HYPERLINK("https://eur-lex.europa.eu/eli/reg/2021/2116/oj","Quelle öffnen")</x:f>
        <x:v>HYPERLINK is not implemented. linkLocation=https://eur-lex.europa.eu/eli/reg/2021/2116/oj, friendlyName=Quelle öffnen</x:v>
      </x:c>
    </x:row>
    <x:row r="45" ht="75.5999984741211" hidden="0" customHeight="1">
      <x:c r="A45" s="10" t="str">
        <x:v>LINK-0044</x:v>
      </x:c>
      <x:c r="B45" s="10" t="n">
        <x:v>13</x:v>
      </x:c>
      <x:c r="C45" s="10" t="str">
        <x:v>Einreichung und Verwaltung des Gemeinsamen Antrags</x:v>
      </x:c>
      <x:c r="D45" s="10" t="str">
        <x:v>Cross‑Compliance/CC‑Verpflichtungen (WBF)</x:v>
      </x:c>
      <x:c r="E45" s="10" t="str">
        <x:v>Grundlagendokument</x:v>
      </x:c>
      <x:c r="F45" s="10" t="str">
        <x:v>Delegierte Verordnung (EU) Nr. 640/2014 der Kommission vom 11. März 2014 zur Ergänzung der Verordnung (EU) Nr. 1306/2013 des Europäischen Parlaments und des Rates</x:v>
      </x:c>
      <x:c r="G45" s="10" t="str">
        <x:v>https://eur-lex.europa.eu/eli/reg_del/2014/640/oj</x:v>
      </x:c>
      <x:c r="H45" s="10" t="e">
        <x:f>HYPERLINK("https://eur-lex.europa.eu/eli/reg_del/2014/640/oj","Quelle öffnen")</x:f>
        <x:v>HYPERLINK is not implemented. linkLocation=https://eur-lex.europa.eu/eli/reg_del/2014/640/oj, friendlyName=Quelle öffnen</x:v>
      </x:c>
    </x:row>
    <x:row r="46" ht="75.5999984741211" hidden="0" customHeight="1">
      <x:c r="A46" s="10" t="str">
        <x:v>LINK-0045</x:v>
      </x:c>
      <x:c r="B46" s="10" t="n">
        <x:v>13</x:v>
      </x:c>
      <x:c r="C46" s="10" t="str">
        <x:v>Einreichung und Verwaltung des Gemeinsamen Antrags</x:v>
      </x:c>
      <x:c r="D46" s="10" t="str">
        <x:v>Cross‑Compliance/CC‑Verpflichtungen (WBF)</x:v>
      </x:c>
      <x:c r="E46" s="10" t="str">
        <x:v>Grundlagendokument</x:v>
      </x:c>
      <x:c r="F46" s="10" t="str">
        <x:v>Durchführungsverordnung (EU) Nr. 809/2014 der Kommission vom 17. Juli 2014 mit Durchführungsbestimmungen zur Verordnung (EU) Nr. 1306/2013 des Europäischen Parlaments und des Rates</x:v>
      </x:c>
      <x:c r="G46" s="10" t="str">
        <x:v>https://eur-lex.europa.eu/eli/reg_impl/2014/809/oj</x:v>
      </x:c>
      <x:c r="H46" s="10" t="e">
        <x:f>HYPERLINK("https://eur-lex.europa.eu/eli/reg_impl/2014/809/oj","Quelle öffnen")</x:f>
        <x:v>HYPERLINK is not implemented. linkLocation=https://eur-lex.europa.eu/eli/reg_impl/2014/809/oj, friendlyName=Quelle öffnen</x:v>
      </x:c>
    </x:row>
    <x:row r="47" ht="64.80000305175781" hidden="0" customHeight="1">
      <x:c r="A47" s="10" t="str">
        <x:v>LINK-0046</x:v>
      </x:c>
      <x:c r="B47" s="10" t="n">
        <x:v>13</x:v>
      </x:c>
      <x:c r="C47" s="10" t="str">
        <x:v>Einreichung und Verwaltung des Gemeinsamen Antrags</x:v>
      </x:c>
      <x:c r="D47" s="10" t="str">
        <x:v>Cross‑Compliance/CC‑Verpflichtungen (WBF)</x:v>
      </x:c>
      <x:c r="E47" s="10" t="str">
        <x:v>Übermittlungsart</x:v>
      </x:c>
      <x:c r="F47" s="10" t="str">
        <x:v>FIONA</x:v>
      </x:c>
      <x:c r="G47" s="10" t="str">
        <x:v>https://fiona.landbw.de/</x:v>
      </x:c>
      <x:c r="H47" s="10" t="e">
        <x:f>HYPERLINK("https://fiona.landbw.de/","Quelle öffnen")</x:f>
        <x:v>HYPERLINK is not implemented. linkLocation=https://fiona.landbw.de/, friendlyName=Quelle öffnen</x:v>
      </x:c>
    </x:row>
    <x:row r="48" ht="75.5999984741211" hidden="0" customHeight="1">
      <x:c r="A48" s="10" t="str">
        <x:v>LINK-0047</x:v>
      </x:c>
      <x:c r="B48" s="10" t="n">
        <x:v>14</x:v>
      </x:c>
      <x:c r="C48" s="10" t="str">
        <x:v>Einreichung und Verwaltung des Gemeinsamen Antrags</x:v>
      </x:c>
      <x:c r="D48" s="10" t="str">
        <x:v>De‑Minimis‑Beihilfen</x:v>
      </x:c>
      <x:c r="E48" s="10" t="str">
        <x:v>Grundlagendokument</x:v>
      </x:c>
      <x:c r="F48" s="10" t="str">
        <x:v>Verordnung (EU) Nr. 1408/2013 der Kommission vom 18. Dezember 2013 über die Anwendung der Artikel 107 und 108 des Vertrags über die Arbeitsweise der Europäischen Union auf De-minimis-Beihilfen im Agrarsektor</x:v>
      </x:c>
      <x:c r="G48" s="10" t="str">
        <x:v>https://eur-lex.europa.eu/eli/reg/2013/1408/oj</x:v>
      </x:c>
      <x:c r="H48" s="10" t="e">
        <x:f>HYPERLINK("https://eur-lex.europa.eu/eli/reg/2013/1408/oj","Quelle öffnen")</x:f>
        <x:v>HYPERLINK is not implemented. linkLocation=https://eur-lex.europa.eu/eli/reg/2013/1408/oj, friendlyName=Quelle öffnen</x:v>
      </x:c>
    </x:row>
    <x:row r="49" ht="75.5999984741211" hidden="0" customHeight="1">
      <x:c r="A49" s="10" t="str">
        <x:v>LINK-0048</x:v>
      </x:c>
      <x:c r="B49" s="10" t="n">
        <x:v>14</x:v>
      </x:c>
      <x:c r="C49" s="10" t="str">
        <x:v>Einreichung und Verwaltung des Gemeinsamen Antrags</x:v>
      </x:c>
      <x:c r="D49" s="10" t="str">
        <x:v>De‑Minimis‑Beihilfen</x:v>
      </x:c>
      <x:c r="E49" s="10" t="str">
        <x:v>Grundlagendokument</x:v>
      </x:c>
      <x:c r="F49" s="10" t="str">
        <x:v>Verordnung (EU) 2023/2831 der Kommission vom 13. Dezember 2023 über die Anwendung der Artikel 107 und 108 des Vertrags über die Arbeitsweise der Europäischen Union auf De-minimis-Beihilfen</x:v>
      </x:c>
      <x:c r="G49" s="10" t="str">
        <x:v>https://eur-lex.europa.eu/eli/reg/2023/2831/oj</x:v>
      </x:c>
      <x:c r="H49" s="10" t="e">
        <x:f>HYPERLINK("https://eur-lex.europa.eu/eli/reg/2023/2831/oj","Quelle öffnen")</x:f>
        <x:v>HYPERLINK is not implemented. linkLocation=https://eur-lex.europa.eu/eli/reg/2023/2831/oj, friendlyName=Quelle öffnen</x:v>
      </x:c>
    </x:row>
    <x:row r="50" ht="75.5999984741211" hidden="0" customHeight="1">
      <x:c r="A50" s="10" t="str">
        <x:v>LINK-0049</x:v>
      </x:c>
      <x:c r="B50" s="10" t="n">
        <x:v>14</x:v>
      </x:c>
      <x:c r="C50" s="10" t="str">
        <x:v>Einreichung und Verwaltung des Gemeinsamen Antrags</x:v>
      </x:c>
      <x:c r="D50" s="10" t="str">
        <x:v>De‑Minimis‑Beihilfen</x:v>
      </x:c>
      <x:c r="E50" s="10" t="str">
        <x:v>Grundlagendokument</x:v>
      </x:c>
      <x:c r="F50" s="10" t="str">
        <x:v>Verordnung (EU) Nr. 717/2014 der Kommission vom 27. Juni 2014 über die Anwendung der Artikel 107 und 108 des Vertrags über die Arbeitsweise der Europäischen Union auf De-minimis-Beihilfen im Fischerei- und Aquakultursektor</x:v>
      </x:c>
      <x:c r="G50" s="10" t="str">
        <x:v>https://eur-lex.europa.eu/eli/reg/2014/717/oj</x:v>
      </x:c>
      <x:c r="H50" s="10" t="e">
        <x:f>HYPERLINK("https://eur-lex.europa.eu/eli/reg/2014/717/oj","Quelle öffnen")</x:f>
        <x:v>HYPERLINK is not implemented. linkLocation=https://eur-lex.europa.eu/eli/reg/2014/717/oj, friendlyName=Quelle öffnen</x:v>
      </x:c>
    </x:row>
    <x:row r="51" ht="75.5999984741211" hidden="0" customHeight="1">
      <x:c r="A51" s="10" t="str">
        <x:v>LINK-0050</x:v>
      </x:c>
      <x:c r="B51" s="10" t="n">
        <x:v>14</x:v>
      </x:c>
      <x:c r="C51" s="10" t="str">
        <x:v>Einreichung und Verwaltung des Gemeinsamen Antrags</x:v>
      </x:c>
      <x:c r="D51" s="10" t="str">
        <x:v>De‑Minimis‑Beihilfen</x:v>
      </x:c>
      <x:c r="E51" s="10" t="str">
        <x:v>Grundlagendokument</x:v>
      </x:c>
      <x:c r="F51" s="10" t="str">
        <x:v>Verordnung (EU) 2023/2832 der Kommission vom 13. Dezember 2023 über die Anwendung der Artikel 107 und 108 des Vertrags über die Arbeitsweise der Europäischen Union auf De-minimis-Beihilfen an Unternehmen, die Dienstleistungen von allgemeinem wirtschaftlichem Interesse erbringen</x:v>
      </x:c>
      <x:c r="G51" s="10" t="str">
        <x:v>https://eur-lex.europa.eu/eli/reg/2023/2832/oj</x:v>
      </x:c>
      <x:c r="H51" s="10" t="e">
        <x:f>HYPERLINK("https://eur-lex.europa.eu/eli/reg/2023/2832/oj","Quelle öffnen")</x:f>
        <x:v>HYPERLINK is not implemented. linkLocation=https://eur-lex.europa.eu/eli/reg/2023/2832/oj, friendlyName=Quelle öffnen</x:v>
      </x:c>
    </x:row>
    <x:row r="52" ht="64.80000305175781" hidden="0" customHeight="1">
      <x:c r="A52" s="10" t="str">
        <x:v>LINK-0051</x:v>
      </x:c>
      <x:c r="B52" s="10" t="n">
        <x:v>14</x:v>
      </x:c>
      <x:c r="C52" s="10" t="str">
        <x:v>Einreichung und Verwaltung des Gemeinsamen Antrags</x:v>
      </x:c>
      <x:c r="D52" s="10" t="str">
        <x:v>De‑Minimis‑Beihilfen</x:v>
      </x:c>
      <x:c r="E52" s="10" t="str">
        <x:v>Übermittlungsart</x:v>
      </x:c>
      <x:c r="F52" s="10" t="str">
        <x:v>FIONA</x:v>
      </x:c>
      <x:c r="G52" s="10" t="str">
        <x:v>https://fiona.landbw.de/</x:v>
      </x:c>
      <x:c r="H52" s="10" t="e">
        <x:f>HYPERLINK("https://fiona.landbw.de/","Quelle öffnen")</x:f>
        <x:v>HYPERLINK is not implemented. linkLocation=https://fiona.landbw.de/, friendlyName=Quelle öffnen</x:v>
      </x:c>
    </x:row>
    <x:row r="53" ht="75.5999984741211" hidden="0" customHeight="1">
      <x:c r="A53" s="10" t="str">
        <x:v>LINK-0052</x:v>
      </x:c>
      <x:c r="B53" s="10" t="n">
        <x:v>15</x:v>
      </x:c>
      <x:c r="C53" s="10" t="str">
        <x:v>Erfüllung der Anforderungen aus dem Fachrecht</x:v>
      </x:c>
      <x:c r="D53" s="10" t="str">
        <x:v>Düngeverordnung - DüV</x:v>
      </x:c>
      <x:c r="E53" s="10" t="str">
        <x:v>Grundlagendokument</x:v>
      </x:c>
      <x:c r="F53" s="10" t="str">
        <x:v>Verordnung über die Anwendung von Düngemitteln, Bodenhilfsstoffen, Kultursubstraten und Pflanzenhilfsmitteln nach den Grundsätzen der guten fachlichen Praxis beim Düngen (Düngeverordnung - DüV)</x:v>
      </x:c>
      <x:c r="G53" s="10" t="str">
        <x:v>https://www.gesetze-im-internet.de/d_v_2017/</x:v>
      </x:c>
      <x:c r="H53" s="10" t="e">
        <x:f>HYPERLINK("https://www.gesetze-im-internet.de/d_v_2017/","Quelle öffnen")</x:f>
        <x:v>HYPERLINK is not implemented. linkLocation=https://www.gesetze-im-internet.de/d_v_2017/, friendlyName=Quelle öffnen</x:v>
      </x:c>
    </x:row>
    <x:row r="54" ht="75.5999984741211" hidden="0" customHeight="1">
      <x:c r="A54" s="10" t="str">
        <x:v>LINK-0053</x:v>
      </x:c>
      <x:c r="B54" s="10" t="n">
        <x:v>15</x:v>
      </x:c>
      <x:c r="C54" s="10" t="str">
        <x:v>Erfüllung der Anforderungen aus dem Fachrecht</x:v>
      </x:c>
      <x:c r="D54" s="10" t="str">
        <x:v>Düngeverordnung - DüV</x:v>
      </x:c>
      <x:c r="E54" s="10" t="str">
        <x:v>Übermittlungsart</x:v>
      </x:c>
      <x:c r="F54" s="10" t="str">
        <x:v>Düngung BW</x:v>
      </x:c>
      <x:c r="G54" s="10" t="str">
        <x:v>https://www.duengung-bw.de/landwirtschaft/</x:v>
      </x:c>
      <x:c r="H54" s="10" t="e">
        <x:f>HYPERLINK("https://www.duengung-bw.de/landwirtschaft/","Quelle öffnen")</x:f>
        <x:v>HYPERLINK is not implemented. linkLocation=https://www.duengung-bw.de/landwirtschaft/, friendlyName=Quelle öffnen</x:v>
      </x:c>
    </x:row>
    <x:row r="55" ht="75.5999984741211" hidden="0" customHeight="1">
      <x:c r="A55" s="10" t="str">
        <x:v>LINK-0054</x:v>
      </x:c>
      <x:c r="B55" s="10" t="n">
        <x:v>16</x:v>
      </x:c>
      <x:c r="C55" s="10" t="str">
        <x:v>Erfüllung der Anforderungen aus dem Fachrecht</x:v>
      </x:c>
      <x:c r="D55" s="10" t="str">
        <x:v>Pflanzenschutzgesetz - PflSchG</x:v>
      </x:c>
      <x:c r="E55" s="10" t="str">
        <x:v>Grundlagendokument</x:v>
      </x:c>
      <x:c r="F55" s="10" t="str">
        <x:v>Gesetz zum Schutz der Kulturpflanzen (Pflanzenschutzgesetz - PflSchG)</x:v>
      </x:c>
      <x:c r="G55" s="10" t="str">
        <x:v>https://www.gesetze-im-internet.de/pflschg_2012/</x:v>
      </x:c>
      <x:c r="H55" s="10" t="e">
        <x:f>HYPERLINK("https://www.gesetze-im-internet.de/pflschg_2012/","Quelle öffnen")</x:f>
        <x:v>HYPERLINK is not implemented. linkLocation=https://www.gesetze-im-internet.de/pflschg_2012/, friendlyName=Quelle öffnen</x:v>
      </x:c>
    </x:row>
    <x:row r="56" ht="64.80000305175781" hidden="0" customHeight="1">
      <x:c r="A56" s="10" t="str">
        <x:v>LINK-0055</x:v>
      </x:c>
      <x:c r="B56" s="10" t="n">
        <x:v>16</x:v>
      </x:c>
      <x:c r="C56" s="10" t="str">
        <x:v>Erfüllung der Anforderungen aus dem Fachrecht</x:v>
      </x:c>
      <x:c r="D56" s="10" t="str">
        <x:v>Pflanzenschutzgesetz - PflSchG</x:v>
      </x:c>
      <x:c r="E56" s="10" t="str">
        <x:v>Übermittlungsart</x:v>
      </x:c>
      <x:c r="F56" s="10" t="str">
        <x:v>PSD-Dokumentation</x:v>
      </x:c>
      <x:c r="G56" s="10" t="str">
        <x:v>https://www.psmdok.de/</x:v>
      </x:c>
      <x:c r="H56" s="10" t="e">
        <x:f>HYPERLINK("https://www.psmdok.de/","Quelle öffnen")</x:f>
        <x:v>HYPERLINK is not implemented. linkLocation=https://www.psmdok.de/, friendlyName=Quelle öffnen</x:v>
      </x:c>
    </x:row>
    <x:row r="57" ht="75.5999984741211" hidden="0" customHeight="1">
      <x:c r="A57" s="10" t="str">
        <x:v>LINK-0056</x:v>
      </x:c>
      <x:c r="B57" s="10" t="n">
        <x:v>17</x:v>
      </x:c>
      <x:c r="C57" s="10" t="str">
        <x:v>Erfüllung der Anforderungen aus dem Fachrecht</x:v>
      </x:c>
      <x:c r="D57" s="10" t="str">
        <x:v>Pflanzenschutz-Sachkundeverordnung - PflSchSachkV 2013</x:v>
      </x:c>
      <x:c r="E57" s="10" t="str">
        <x:v>Grundlagendokument</x:v>
      </x:c>
      <x:c r="F57" s="10" t="str">
        <x:v>Verordnung über die Sachkunde im Pflanzenschutz (Pflanzenschutz-Sachkundeverordnung - PflSchSachkV)</x:v>
      </x:c>
      <x:c r="G57" s="10" t="str">
        <x:v>https://www.gesetze-im-internet.de/pflschsachkv_2013/</x:v>
      </x:c>
      <x:c r="H57" s="10" t="e">
        <x:f>HYPERLINK("https://www.gesetze-im-internet.de/pflschsachkv_2013/","Quelle öffnen")</x:f>
        <x:v>HYPERLINK is not implemented. linkLocation=https://www.gesetze-im-internet.de/pflschsachkv_2013/, friendlyName=Quelle öffnen</x:v>
      </x:c>
    </x:row>
    <x:row r="58" ht="64.80000305175781" hidden="0" customHeight="1">
      <x:c r="A58" s="10" t="str">
        <x:v>LINK-0057</x:v>
      </x:c>
      <x:c r="B58" s="10" t="n">
        <x:v>17</x:v>
      </x:c>
      <x:c r="C58" s="10" t="str">
        <x:v>Erfüllung der Anforderungen aus dem Fachrecht</x:v>
      </x:c>
      <x:c r="D58" s="10" t="str">
        <x:v>Pflanzenschutz-Sachkundeverordnung - PflSchSachkV 2013</x:v>
      </x:c>
      <x:c r="E58" s="10" t="str">
        <x:v>Übermittlungsart</x:v>
      </x:c>
      <x:c r="F58" s="10" t="str">
        <x:v>Sachkundenachweis-Portal</x:v>
      </x:c>
      <x:c r="G58" s="10" t="str">
        <x:v>https://www.pflanzenschutz-skn.de/</x:v>
      </x:c>
      <x:c r="H58" s="10" t="e">
        <x:f>HYPERLINK("https://www.pflanzenschutz-skn.de/","Quelle öffnen")</x:f>
        <x:v>HYPERLINK is not implemented. linkLocation=https://www.pflanzenschutz-skn.de/, friendlyName=Quelle öffnen</x:v>
      </x:c>
    </x:row>
    <x:row r="59" ht="75.5999984741211" hidden="0" customHeight="1">
      <x:c r="A59" s="10" t="str">
        <x:v>LINK-0058</x:v>
      </x:c>
      <x:c r="B59" s="10" t="n">
        <x:v>18</x:v>
      </x:c>
      <x:c r="C59" s="10" t="str">
        <x:v>Erfüllung der Anforderungen aus dem Fachrecht</x:v>
      </x:c>
      <x:c r="D59" s="10" t="str">
        <x:v>Weinbaukartei</x:v>
      </x:c>
      <x:c r="E59" s="10" t="str">
        <x:v>Grundlagendokument</x:v>
      </x:c>
      <x:c r="F59" s="10" t="str">
        <x:v>Weingesetz</x:v>
      </x:c>
      <x:c r="G59" s="10" t="str">
        <x:v>https://www.gesetze-im-internet.de/weing_1994/</x:v>
      </x:c>
      <x:c r="H59" s="10" t="e">
        <x:f>HYPERLINK("https://www.gesetze-im-internet.de/weing_1994/","Quelle öffnen")</x:f>
        <x:v>HYPERLINK is not implemented. linkLocation=https://www.gesetze-im-internet.de/weing_1994/, friendlyName=Quelle öffnen</x:v>
      </x:c>
    </x:row>
    <x:row r="60" ht="75.5999984741211" hidden="0" customHeight="1">
      <x:c r="A60" s="10" t="str">
        <x:v>LINK-0059</x:v>
      </x:c>
      <x:c r="B60" s="10" t="n">
        <x:v>18</x:v>
      </x:c>
      <x:c r="C60" s="10" t="str">
        <x:v>Erfüllung der Anforderungen aus dem Fachrecht</x:v>
      </x:c>
      <x:c r="D60" s="10" t="str">
        <x:v>Weinbaukartei</x:v>
      </x:c>
      <x:c r="E60" s="10" t="str">
        <x:v>Grundlagendokument</x:v>
      </x:c>
      <x:c r="F60" s="10" t="str">
        <x:v>Wein-Überwachungsverordnung</x:v>
      </x:c>
      <x:c r="G60" s="10" t="str">
        <x:v>https://www.gesetze-im-internet.de/wein_v_1995/</x:v>
      </x:c>
      <x:c r="H60" s="10" t="e">
        <x:f>HYPERLINK("https://www.gesetze-im-internet.de/wein_v_1995/","Quelle öffnen")</x:f>
        <x:v>HYPERLINK is not implemented. linkLocation=https://www.gesetze-im-internet.de/wein_v_1995/, friendlyName=Quelle öffnen</x:v>
      </x:c>
    </x:row>
    <x:row r="61" ht="118.80000305175781" hidden="0" customHeight="1">
      <x:c r="A61" s="10" t="str">
        <x:v>LINK-0060</x:v>
      </x:c>
      <x:c r="B61" s="10" t="n">
        <x:v>18</x:v>
      </x:c>
      <x:c r="C61" s="10" t="str">
        <x:v>Erfüllung der Anforderungen aus dem Fachrecht</x:v>
      </x:c>
      <x:c r="D61" s="10" t="str">
        <x:v>Weinbaukartei</x:v>
      </x:c>
      <x:c r="E61" s="10" t="str">
        <x:v>Übermittlungsart</x:v>
      </x:c>
      <x:c r="F61" s="10" t="str">
        <x:v>Online-Angebot</x:v>
      </x:c>
      <x:c r="G61" s="10" t="str">
        <x:v>https://wbi.landwirtschaft-bw.de/%2CLde/Startseite/Service/Formulare%2Bund%2BAntraege%2Bder%2BWeinbaukartei%2Bund%2BWeinmarktverwaltung</x:v>
      </x:c>
      <x:c r="H61"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62" ht="216" hidden="0" customHeight="1">
      <x:c r="A62" s="10" t="str">
        <x:v>LINK-0061</x:v>
      </x:c>
      <x:c r="B62" s="10" t="n">
        <x:v>18</x:v>
      </x:c>
      <x:c r="C62" s="10" t="str">
        <x:v>Erfüllung der Anforderungen aus dem Fachrecht</x:v>
      </x:c>
      <x:c r="D62" s="10" t="str">
        <x:v>Weinbaukartei</x:v>
      </x:c>
      <x:c r="E62" s="10" t="str">
        <x:v>Übermittlungsart</x:v>
      </x:c>
      <x:c r="F62" s="10" t="str">
        <x:v>Formular oder Dokument</x:v>
      </x:c>
      <x:c r="G62" s="10" t="str">
        <x:v>https://wbi.landwirtschaft-bw.de/site/pbs-bw-rebrush2024/get/documents_E1742378114/MLR.LEL/PB5Documents/wbi/020%20Service/0203%20Referat%2023%20Antr%C3%A4ge%20und%20Formulare%20zur%20Weinbaukartei%20und%20Weinmarktverwaltung/434%20%20Bescheinigung%20der%20Hangneigung/Antrag%20auf%20Bescheinigung%20der%20Hangneigung.pdf</x:v>
      </x:c>
      <x:c r="H62" s="10" t="e">
        <x:f>HYPERLINK("https://wbi.landwirtschaft-bw.de/site/pbs-bw-rebrush2024/get/documents_E1742378114/MLR.LEL/PB5Documents/wbi/020%20Service/0203%20Referat%2023%20Antr%C3%A4ge%20und%20Formulare%20zur%20Weinbaukartei%20und%20Weinmarktverwaltung/434%20%20Bescheinigung%20der%20Hangneigung/Antrag%20auf%20Bescheinigung%20der%20Hangneigung.pdf","Quelle öffnen")</x:f>
        <x:v>HYPERLINK is not implemented. linkLocation=https://wbi.landwirtschaft-bw.de/site/pbs-bw-rebrush2024/get/documents_E1742378114/MLR.LEL/PB5Documents/wbi/020%20Service/0203%20Referat%2023%20Antr%C3%A4ge%20und%20Formulare%20zur%20Weinbaukartei%20und%20Weinmarktverwaltung/434%20%20Bescheinigung%20der%20Hangneigung/Antrag%20auf%20Bescheinigung%20der%20Hangneigung.pdf, friendlyName=Quelle öffnen</x:v>
      </x:c>
    </x:row>
    <x:row r="63" ht="64.80000305175781" hidden="0" customHeight="1">
      <x:c r="A63" s="10" t="str">
        <x:v>LINK-0062</x:v>
      </x:c>
      <x:c r="B63" s="10" t="n">
        <x:v>18</x:v>
      </x:c>
      <x:c r="C63" s="10" t="str">
        <x:v>Erfüllung der Anforderungen aus dem Fachrecht</x:v>
      </x:c>
      <x:c r="D63" s="10" t="str">
        <x:v>Weinbaukartei</x:v>
      </x:c>
      <x:c r="E63" s="10" t="str">
        <x:v>Übermittlungsart</x:v>
      </x:c>
      <x:c r="F63" s="10" t="str">
        <x:v>Weinbau-Portal</x:v>
      </x:c>
      <x:c r="G63" s="10" t="str">
        <x:v>https://weinbau.lgl-bw.de/</x:v>
      </x:c>
      <x:c r="H63" s="10" t="e">
        <x:f>HYPERLINK("https://weinbau.lgl-bw.de/","Quelle öffnen")</x:f>
        <x:v>HYPERLINK is not implemented. linkLocation=https://weinbau.lgl-bw.de/, friendlyName=Quelle öffnen</x:v>
      </x:c>
    </x:row>
    <x:row r="64" ht="75.5999984741211" hidden="0" customHeight="1">
      <x:c r="A64" s="10" t="str">
        <x:v>LINK-0063</x:v>
      </x:c>
      <x:c r="B64" s="10" t="n">
        <x:v>19</x:v>
      </x:c>
      <x:c r="C64" s="10" t="str">
        <x:v>Erfüllung der Anforderungen aus dem Fachrecht</x:v>
      </x:c>
      <x:c r="D64" s="10" t="str">
        <x:v>Neuanpflanzung</x:v>
      </x:c>
      <x:c r="E64" s="10" t="str">
        <x:v>Grundlagendokument</x:v>
      </x:c>
      <x:c r="F64" s="10" t="str">
        <x:v>Wein-Überwachungsverordnung</x:v>
      </x:c>
      <x:c r="G64" s="10" t="str">
        <x:v>https://www.gesetze-im-internet.de/wein_v_1995/</x:v>
      </x:c>
      <x:c r="H64" s="10" t="e">
        <x:f>HYPERLINK("https://www.gesetze-im-internet.de/wein_v_1995/","Quelle öffnen")</x:f>
        <x:v>HYPERLINK is not implemented. linkLocation=https://www.gesetze-im-internet.de/wein_v_1995/, friendlyName=Quelle öffnen</x:v>
      </x:c>
    </x:row>
    <x:row r="65" ht="118.80000305175781" hidden="0" customHeight="1">
      <x:c r="A65" s="10" t="str">
        <x:v>LINK-0064</x:v>
      </x:c>
      <x:c r="B65" s="10" t="n">
        <x:v>19</x:v>
      </x:c>
      <x:c r="C65" s="10" t="str">
        <x:v>Erfüllung der Anforderungen aus dem Fachrecht</x:v>
      </x:c>
      <x:c r="D65" s="10" t="str">
        <x:v>Neuanpflanzung</x:v>
      </x:c>
      <x:c r="E65" s="10" t="str">
        <x:v>Übermittlungsart</x:v>
      </x:c>
      <x:c r="F65" s="10" t="str">
        <x:v>Online-Angebot</x:v>
      </x:c>
      <x:c r="G65" s="10" t="str">
        <x:v>https://wbi.landwirtschaft-bw.de/%2CLde/Startseite/Service/Formulare%2Bund%2BAntraege%2Bder%2BWeinbaukartei%2Bund%2BWeinmarktverwaltung</x:v>
      </x:c>
      <x:c r="H65"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66" ht="216" hidden="0" customHeight="1">
      <x:c r="A66" s="10" t="str">
        <x:v>LINK-0065</x:v>
      </x:c>
      <x:c r="B66" s="10" t="n">
        <x:v>19</x:v>
      </x:c>
      <x:c r="C66" s="10" t="str">
        <x:v>Erfüllung der Anforderungen aus dem Fachrecht</x:v>
      </x:c>
      <x:c r="D66" s="10" t="str">
        <x:v>Neuanpflanzung</x:v>
      </x:c>
      <x:c r="E66" s="10" t="str">
        <x:v>Übermittlungsart</x:v>
      </x:c>
      <x:c r="F66" s="10" t="str">
        <x:v>Formular oder Dokument</x:v>
      </x:c>
      <x:c r="G66" s="10" t="str">
        <x:v>https://wbi.landwirtschaft-bw.de/site/pbs-bw-rebrush2024/get/documents_E1609605946/MLR.LEL/PB5Documents/wbi/020%20Service/0203%20Referat%2023%20Antr%C3%A4ge%20und%20Formulare%20zur%20Weinbaukartei%20und%20Weinmarktverwaltung/434%20%20Bescheinigung%20der%20Hangneigung/Bescheinigung%20zur%20geografischen%20Angabe.pdf</x:v>
      </x:c>
      <x:c r="H66" s="10" t="e">
        <x:f>HYPERLINK("https://wbi.landwirtschaft-bw.de/site/pbs-bw-rebrush2024/get/documents_E1609605946/MLR.LEL/PB5Documents/wbi/020%20Service/0203%20Referat%2023%20Antr%C3%A4ge%20und%20Formulare%20zur%20Weinbaukartei%20und%20Weinmarktverwaltung/434%20%20Bescheinigung%20der%20Hangneigung/Bescheinigung%20zur%20geografischen%20Angabe.pdf","Quelle öffnen")</x:f>
        <x:v>HYPERLINK is not implemented. linkLocation=https://wbi.landwirtschaft-bw.de/site/pbs-bw-rebrush2024/get/documents_E1609605946/MLR.LEL/PB5Documents/wbi/020%20Service/0203%20Referat%2023%20Antr%C3%A4ge%20und%20Formulare%20zur%20Weinbaukartei%20und%20Weinmarktverwaltung/434%20%20Bescheinigung%20der%20Hangneigung/Bescheinigung%20zur%20geografischen%20Angabe.pdf, friendlyName=Quelle öffnen</x:v>
      </x:c>
    </x:row>
    <x:row r="67" ht="64.80000305175781" hidden="0" customHeight="1">
      <x:c r="A67" s="10" t="str">
        <x:v>LINK-0066</x:v>
      </x:c>
      <x:c r="B67" s="10" t="n">
        <x:v>19</x:v>
      </x:c>
      <x:c r="C67" s="10" t="str">
        <x:v>Erfüllung der Anforderungen aus dem Fachrecht</x:v>
      </x:c>
      <x:c r="D67" s="10" t="str">
        <x:v>Neuanpflanzung</x:v>
      </x:c>
      <x:c r="E67" s="10" t="str">
        <x:v>Übermittlungsart</x:v>
      </x:c>
      <x:c r="F67" s="10" t="str">
        <x:v>Weinbau-Portal</x:v>
      </x:c>
      <x:c r="G67" s="10" t="str">
        <x:v>https://weinbau.lgl-bw.de/</x:v>
      </x:c>
      <x:c r="H67" s="10" t="e">
        <x:f>HYPERLINK("https://weinbau.lgl-bw.de/","Quelle öffnen")</x:f>
        <x:v>HYPERLINK is not implemented. linkLocation=https://weinbau.lgl-bw.de/, friendlyName=Quelle öffnen</x:v>
      </x:c>
    </x:row>
    <x:row r="68" ht="75.5999984741211" hidden="0" customHeight="1">
      <x:c r="A68" s="10" t="str">
        <x:v>LINK-0067</x:v>
      </x:c>
      <x:c r="B68" s="10" t="n">
        <x:v>20</x:v>
      </x:c>
      <x:c r="C68" s="10" t="str">
        <x:v>Erfüllung der Anforderungen aus dem Fachrecht</x:v>
      </x:c>
      <x:c r="D68" s="10" t="str">
        <x:v>Weinmarktverwaltung</x:v>
      </x:c>
      <x:c r="E68" s="10" t="str">
        <x:v>Grundlagendokument</x:v>
      </x:c>
      <x:c r="F68" s="10" t="str">
        <x:v>Weingesetz</x:v>
      </x:c>
      <x:c r="G68" s="10" t="str">
        <x:v>https://www.gesetze-im-internet.de/weing_1994/</x:v>
      </x:c>
      <x:c r="H68" s="10" t="e">
        <x:f>HYPERLINK("https://www.gesetze-im-internet.de/weing_1994/","Quelle öffnen")</x:f>
        <x:v>HYPERLINK is not implemented. linkLocation=https://www.gesetze-im-internet.de/weing_1994/, friendlyName=Quelle öffnen</x:v>
      </x:c>
    </x:row>
    <x:row r="69" ht="75.5999984741211" hidden="0" customHeight="1">
      <x:c r="A69" s="10" t="str">
        <x:v>LINK-0068</x:v>
      </x:c>
      <x:c r="B69" s="10" t="n">
        <x:v>20</x:v>
      </x:c>
      <x:c r="C69" s="10" t="str">
        <x:v>Erfüllung der Anforderungen aus dem Fachrecht</x:v>
      </x:c>
      <x:c r="D69" s="10" t="str">
        <x:v>Weinmarktverwaltung</x:v>
      </x:c>
      <x:c r="E69" s="10" t="str">
        <x:v>Grundlagendokument</x:v>
      </x:c>
      <x:c r="F69" s="10" t="str">
        <x:v>Wein-Überwachungsverordnung</x:v>
      </x:c>
      <x:c r="G69" s="10" t="str">
        <x:v>https://www.gesetze-im-internet.de/wein_v_1995/</x:v>
      </x:c>
      <x:c r="H69" s="10" t="e">
        <x:f>HYPERLINK("https://www.gesetze-im-internet.de/wein_v_1995/","Quelle öffnen")</x:f>
        <x:v>HYPERLINK is not implemented. linkLocation=https://www.gesetze-im-internet.de/wein_v_1995/, friendlyName=Quelle öffnen</x:v>
      </x:c>
    </x:row>
    <x:row r="70" ht="118.80000305175781" hidden="0" customHeight="1">
      <x:c r="A70" s="10" t="str">
        <x:v>LINK-0069</x:v>
      </x:c>
      <x:c r="B70" s="10" t="n">
        <x:v>20</x:v>
      </x:c>
      <x:c r="C70" s="10" t="str">
        <x:v>Erfüllung der Anforderungen aus dem Fachrecht</x:v>
      </x:c>
      <x:c r="D70" s="10" t="str">
        <x:v>Weinmarktverwaltung</x:v>
      </x:c>
      <x:c r="E70" s="10" t="str">
        <x:v>Übermittlungsart</x:v>
      </x:c>
      <x:c r="F70" s="10" t="str">
        <x:v>Online-Angebot</x:v>
      </x:c>
      <x:c r="G70" s="10" t="str">
        <x:v>https://wbi.landwirtschaft-bw.de/%2CLde/Startseite/Service/Formulare%2Bund%2BAntraege%2Bder%2BWeinbaukartei%2Bund%2BWeinmarktverwaltung</x:v>
      </x:c>
      <x:c r="H70"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71" ht="75.5999984741211" hidden="0" customHeight="1">
      <x:c r="A71" s="10" t="str">
        <x:v>LINK-0070</x:v>
      </x:c>
      <x:c r="B71" s="10" t="n">
        <x:v>21</x:v>
      </x:c>
      <x:c r="C71" s="10" t="str">
        <x:v>Erfüllung der Anforderungen aus dem Fachrecht</x:v>
      </x:c>
      <x:c r="D71" s="10" t="str">
        <x:v>WeinÜV 1995</x:v>
      </x:c>
      <x:c r="E71" s="10" t="str">
        <x:v>Grundlagendokument</x:v>
      </x:c>
      <x:c r="F71" s="10" t="str">
        <x:v>Wein-Überwachungsverordnung</x:v>
      </x:c>
      <x:c r="G71" s="10" t="str">
        <x:v>https://www.gesetze-im-internet.de/wein_v_1995/</x:v>
      </x:c>
      <x:c r="H71" s="10" t="e">
        <x:f>HYPERLINK("https://www.gesetze-im-internet.de/wein_v_1995/","Quelle öffnen")</x:f>
        <x:v>HYPERLINK is not implemented. linkLocation=https://www.gesetze-im-internet.de/wein_v_1995/, friendlyName=Quelle öffnen</x:v>
      </x:c>
    </x:row>
    <x:row r="72" ht="75.5999984741211" hidden="0" customHeight="1">
      <x:c r="A72" s="10" t="str">
        <x:v>LINK-0071</x:v>
      </x:c>
      <x:c r="B72" s="10" t="n">
        <x:v>22</x:v>
      </x:c>
      <x:c r="C72" s="10" t="str">
        <x:v>Erfüllung der Anforderungen aus dem Fachrecht</x:v>
      </x:c>
      <x:c r="D72" s="10" t="str">
        <x:v>Rückverfolgbarkeit</x:v>
      </x:c>
      <x:c r="E72" s="10" t="str">
        <x:v>Grundlagendokument</x:v>
      </x:c>
      <x:c r="F72" s="10" t="str">
        <x:v>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x:v>
      </x:c>
      <x:c r="G72" s="10" t="str">
        <x:v>http://data.europa.eu/eli/reg/2002/178/2026-01-01</x:v>
      </x:c>
      <x:c r="H72" s="10" t="e">
        <x:f>HYPERLINK("http://data.europa.eu/eli/reg/2002/178/2026-01-01","Quelle öffnen")</x:f>
        <x:v>HYPERLINK is not implemented. linkLocation=http://data.europa.eu/eli/reg/2002/178/2026-01-01, friendlyName=Quelle öffnen</x:v>
      </x:c>
    </x:row>
    <x:row r="73" ht="75.5999984741211" hidden="0" customHeight="1">
      <x:c r="A73" s="10" t="str">
        <x:v>LINK-0072</x:v>
      </x:c>
      <x:c r="B73" s="10" t="n">
        <x:v>23</x:v>
      </x:c>
      <x:c r="C73" s="10" t="str">
        <x:v>Erfüllung der Anforderungen aus dem Fachrecht</x:v>
      </x:c>
      <x:c r="D73" s="10" t="str">
        <x:v>Weinrechtliche Qualitätsunterlagen</x:v>
      </x:c>
      <x:c r="E73" s="10" t="str">
        <x:v>Grundlagendokument</x:v>
      </x:c>
      <x:c r="F73" s="10" t="str">
        <x:v>Weingesetz</x:v>
      </x:c>
      <x:c r="G73" s="10" t="str">
        <x:v>https://www.gesetze-im-internet.de/weing_1994/</x:v>
      </x:c>
      <x:c r="H73" s="10" t="e">
        <x:f>HYPERLINK("https://www.gesetze-im-internet.de/weing_1994/","Quelle öffnen")</x:f>
        <x:v>HYPERLINK is not implemented. linkLocation=https://www.gesetze-im-internet.de/weing_1994/, friendlyName=Quelle öffnen</x:v>
      </x:c>
    </x:row>
    <x:row r="74" ht="75.5999984741211" hidden="0" customHeight="1">
      <x:c r="A74" s="10" t="str">
        <x:v>LINK-0073</x:v>
      </x:c>
      <x:c r="B74" s="10" t="n">
        <x:v>23</x:v>
      </x:c>
      <x:c r="C74" s="10" t="str">
        <x:v>Erfüllung der Anforderungen aus dem Fachrecht</x:v>
      </x:c>
      <x:c r="D74" s="10" t="str">
        <x:v>Weinrechtliche Qualitätsunterlagen</x:v>
      </x:c>
      <x:c r="E74" s="10" t="str">
        <x:v>Grundlagendokument</x:v>
      </x:c>
      <x:c r="F74" s="10" t="str">
        <x:v>Wein-Überwachungsverordnung</x:v>
      </x:c>
      <x:c r="G74" s="10" t="str">
        <x:v>https://www.gesetze-im-internet.de/wein_v_1995/</x:v>
      </x:c>
      <x:c r="H74" s="10" t="e">
        <x:f>HYPERLINK("https://www.gesetze-im-internet.de/wein_v_1995/","Quelle öffnen")</x:f>
        <x:v>HYPERLINK is not implemented. linkLocation=https://www.gesetze-im-internet.de/wein_v_1995/, friendlyName=Quelle öffnen</x:v>
      </x:c>
    </x:row>
    <x:row r="75" ht="118.80000305175781" hidden="0" customHeight="1">
      <x:c r="A75" s="10" t="str">
        <x:v>LINK-0074</x:v>
      </x:c>
      <x:c r="B75" s="10" t="n">
        <x:v>23</x:v>
      </x:c>
      <x:c r="C75" s="10" t="str">
        <x:v>Erfüllung der Anforderungen aus dem Fachrecht</x:v>
      </x:c>
      <x:c r="D75" s="10" t="str">
        <x:v>Weinrechtliche Qualitätsunterlagen</x:v>
      </x:c>
      <x:c r="E75" s="10" t="str">
        <x:v>Übermittlungsart</x:v>
      </x:c>
      <x:c r="F75" s="10" t="str">
        <x:v>Online-Angebot</x:v>
      </x:c>
      <x:c r="G75" s="10" t="str">
        <x:v>https://wbi.landwirtschaft-bw.de/%2CLde/Startseite/Service/Formulare%2Bund%2BAntraege%2Bder%2BWeinbaukartei%2Bund%2BWeinmarktverwaltung</x:v>
      </x:c>
      <x:c r="H75"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76" ht="75.5999984741211" hidden="0" customHeight="1">
      <x:c r="A76" s="10" t="str">
        <x:v>LINK-0075</x:v>
      </x:c>
      <x:c r="B76" s="10" t="n">
        <x:v>26</x:v>
      </x:c>
      <x:c r="C76" s="10" t="str">
        <x:v>QZBW-/BIOZBW-Einzelzertifizierung (EZ)</x:v>
      </x:c>
      <x:c r="D76" s="10" t="str">
        <x:v>EZ-Teilnahme</x:v>
      </x:c>
      <x:c r="E76" s="10" t="str">
        <x:v>Grundlagendokument</x:v>
      </x:c>
      <x:c r="F76" s="10" t="str">
        <x:v>Qualitätszeichen Baden-Württemberg</x:v>
      </x:c>
      <x:c r="G76" s="10" t="str">
        <x:v>https://www.gemeinschaftsmarketing-bw.de/</x:v>
      </x:c>
      <x:c r="H76" s="10" t="e">
        <x:f>HYPERLINK("https://www.gemeinschaftsmarketing-bw.de/","Quelle öffnen")</x:f>
        <x:v>HYPERLINK is not implemented. linkLocation=https://www.gemeinschaftsmarketing-bw.de/, friendlyName=Quelle öffnen</x:v>
      </x:c>
    </x:row>
    <x:row r="77" ht="64.80000305175781" hidden="0" customHeight="1">
      <x:c r="A77" s="10" t="str">
        <x:v>LINK-0076</x:v>
      </x:c>
      <x:c r="B77" s="10" t="n">
        <x:v>26</x:v>
      </x:c>
      <x:c r="C77" s="10" t="str">
        <x:v>QZBW-/BIOZBW-Einzelzertifizierung (EZ)</x:v>
      </x:c>
      <x:c r="D77" s="10" t="str">
        <x:v>EZ-Teilnahme</x:v>
      </x:c>
      <x:c r="E77" s="10" t="str">
        <x:v>Grundlagendokument</x:v>
      </x:c>
      <x:c r="F77" s="10" t="str">
        <x:v>Biozeichen Baden-Württemberg</x:v>
      </x:c>
      <x:c r="G77" s="10" t="str">
        <x:v>https://www.bio-aus-bw.de/</x:v>
      </x:c>
      <x:c r="H77" s="10" t="e">
        <x:f>HYPERLINK("https://www.bio-aus-bw.de/","Quelle öffnen")</x:f>
        <x:v>HYPERLINK is not implemented. linkLocation=https://www.bio-aus-bw.de/, friendlyName=Quelle öffnen</x:v>
      </x:c>
    </x:row>
    <x:row r="78" ht="86.4000015258789" hidden="0" customHeight="1">
      <x:c r="A78" s="10" t="str">
        <x:v>LINK-0077</x:v>
      </x:c>
      <x:c r="B78" s="10" t="n">
        <x:v>26</x:v>
      </x:c>
      <x:c r="C78" s="10" t="str">
        <x:v>QZBW-/BIOZBW-Einzelzertifizierung (EZ)</x:v>
      </x:c>
      <x:c r="D78" s="10" t="str">
        <x:v>EZ-Teilnahme</x:v>
      </x:c>
      <x:c r="E78" s="10" t="str">
        <x:v>Grundlagendokument</x:v>
      </x:c>
      <x:c r="F78" s="10" t="str">
        <x:v>Mitteilung der Kommission - EU-Leitlinien für eine gute Praxis bei freiwilligen Zertifizierungssystemen für landwirtschaftliche Erzeugnisse und Lebensmittel</x:v>
      </x:c>
      <x:c r="G78" s="10" t="str">
        <x:v>https://eur-lex.europa.eu/legal-content/DE/TXT/?uri=CELEX:52010XC1216(02)</x:v>
      </x:c>
      <x:c r="H78" s="10" t="e">
        <x:f>HYPERLINK("https://eur-lex.europa.eu/legal-content/DE/TXT/?uri=CELEX:52010XC1216(02)","Quelle öffnen")</x:f>
        <x:v>HYPERLINK is not implemented. linkLocation=https://eur-lex.europa.eu/legal-content/DE/TXT/?uri=CELEX:52010XC1216(02), friendlyName=Quelle öffnen</x:v>
      </x:c>
    </x:row>
    <x:row r="79" ht="75.5999984741211" hidden="0" customHeight="1">
      <x:c r="A79" s="10" t="str">
        <x:v>LINK-0078</x:v>
      </x:c>
      <x:c r="B79" s="10" t="n">
        <x:v>26</x:v>
      </x:c>
      <x:c r="C79" s="10" t="str">
        <x:v>QZBW-/BIOZBW-Einzelzertifizierung (EZ)</x:v>
      </x:c>
      <x:c r="D79" s="10" t="str">
        <x:v>EZ-Teilnahme</x:v>
      </x:c>
      <x:c r="E79" s="10" t="str">
        <x:v>Übermittlungsart</x:v>
      </x:c>
      <x:c r="F79" s="10" t="str">
        <x:v>Online-Angebot</x:v>
      </x:c>
      <x:c r="G79" s="10" t="str">
        <x:v>https://www.gemeinschaftsmarketing-bw.de/</x:v>
      </x:c>
      <x:c r="H79" s="10" t="e">
        <x:f>HYPERLINK("https://www.gemeinschaftsmarketing-bw.de/","Quelle öffnen")</x:f>
        <x:v>HYPERLINK is not implemented. linkLocation=https://www.gemeinschaftsmarketing-bw.de/, friendlyName=Quelle öffnen</x:v>
      </x:c>
    </x:row>
    <x:row r="80" ht="64.80000305175781" hidden="0" customHeight="1">
      <x:c r="A80" s="10" t="str">
        <x:v>LINK-0079</x:v>
      </x:c>
      <x:c r="B80" s="10" t="n">
        <x:v>26</x:v>
      </x:c>
      <x:c r="C80" s="10" t="str">
        <x:v>QZBW-/BIOZBW-Einzelzertifizierung (EZ)</x:v>
      </x:c>
      <x:c r="D80" s="10" t="str">
        <x:v>EZ-Teilnahme</x:v>
      </x:c>
      <x:c r="E80" s="10" t="str">
        <x:v>Übermittlungsart</x:v>
      </x:c>
      <x:c r="F80" s="10" t="str">
        <x:v>Online-Angebot</x:v>
      </x:c>
      <x:c r="G80" s="10" t="str">
        <x:v>https://www.bio-aus-bw.de/</x:v>
      </x:c>
      <x:c r="H80" s="10" t="e">
        <x:f>HYPERLINK("https://www.bio-aus-bw.de/","Quelle öffnen")</x:f>
        <x:v>HYPERLINK is not implemented. linkLocation=https://www.bio-aus-bw.de/, friendlyName=Quelle öffnen</x:v>
      </x:c>
    </x:row>
    <x:row r="81" ht="75.5999984741211" hidden="0" customHeight="1">
      <x:c r="A81" s="10" t="str">
        <x:v>LINK-0080</x:v>
      </x:c>
      <x:c r="B81" s="10" t="n">
        <x:v>27</x:v>
      </x:c>
      <x:c r="C81" s="10" t="str">
        <x:v>QZBW-/BIOZBW-Einzelzertifizierung (EZ)</x:v>
      </x:c>
      <x:c r="D81" s="10" t="str">
        <x:v>EZ-Kontrolldaten</x:v>
      </x:c>
      <x:c r="E81" s="10" t="str">
        <x:v>Grundlagendokument</x:v>
      </x:c>
      <x:c r="F81" s="10" t="str">
        <x:v>Qualitätszeichen Baden-Württemberg</x:v>
      </x:c>
      <x:c r="G81" s="10" t="str">
        <x:v>https://www.gemeinschaftsmarketing-bw.de/</x:v>
      </x:c>
      <x:c r="H81" s="10" t="e">
        <x:f>HYPERLINK("https://www.gemeinschaftsmarketing-bw.de/","Quelle öffnen")</x:f>
        <x:v>HYPERLINK is not implemented. linkLocation=https://www.gemeinschaftsmarketing-bw.de/, friendlyName=Quelle öffnen</x:v>
      </x:c>
    </x:row>
    <x:row r="82" ht="64.80000305175781" hidden="0" customHeight="1">
      <x:c r="A82" s="10" t="str">
        <x:v>LINK-0081</x:v>
      </x:c>
      <x:c r="B82" s="10" t="n">
        <x:v>27</x:v>
      </x:c>
      <x:c r="C82" s="10" t="str">
        <x:v>QZBW-/BIOZBW-Einzelzertifizierung (EZ)</x:v>
      </x:c>
      <x:c r="D82" s="10" t="str">
        <x:v>EZ-Kontrolldaten</x:v>
      </x:c>
      <x:c r="E82" s="10" t="str">
        <x:v>Grundlagendokument</x:v>
      </x:c>
      <x:c r="F82" s="10" t="str">
        <x:v>Biozeichen Baden-Württemberg</x:v>
      </x:c>
      <x:c r="G82" s="10" t="str">
        <x:v>https://www.bio-aus-bw.de/</x:v>
      </x:c>
      <x:c r="H82" s="10" t="e">
        <x:f>HYPERLINK("https://www.bio-aus-bw.de/","Quelle öffnen")</x:f>
        <x:v>HYPERLINK is not implemented. linkLocation=https://www.bio-aus-bw.de/, friendlyName=Quelle öffnen</x:v>
      </x:c>
    </x:row>
    <x:row r="83" ht="86.4000015258789" hidden="0" customHeight="1">
      <x:c r="A83" s="10" t="str">
        <x:v>LINK-0082</x:v>
      </x:c>
      <x:c r="B83" s="10" t="n">
        <x:v>27</x:v>
      </x:c>
      <x:c r="C83" s="10" t="str">
        <x:v>QZBW-/BIOZBW-Einzelzertifizierung (EZ)</x:v>
      </x:c>
      <x:c r="D83" s="10" t="str">
        <x:v>EZ-Kontrolldaten</x:v>
      </x:c>
      <x:c r="E83" s="10" t="str">
        <x:v>Grundlagendokument</x:v>
      </x:c>
      <x:c r="F83" s="10" t="str">
        <x:v>Mitteilung der Kommission - EU-Leitlinien für eine gute Praxis bei freiwilligen Zertifizierungssystemen für landwirtschaftliche Erzeugnisse und Lebensmittel</x:v>
      </x:c>
      <x:c r="G83" s="10" t="str">
        <x:v>https://eur-lex.europa.eu/legal-content/DE/TXT/?uri=CELEX:52010XC1216(02)</x:v>
      </x:c>
      <x:c r="H83" s="10" t="e">
        <x:f>HYPERLINK("https://eur-lex.europa.eu/legal-content/DE/TXT/?uri=CELEX:52010XC1216(02)","Quelle öffnen")</x:f>
        <x:v>HYPERLINK is not implemented. linkLocation=https://eur-lex.europa.eu/legal-content/DE/TXT/?uri=CELEX:52010XC1216(02), friendlyName=Quelle öffnen</x:v>
      </x:c>
    </x:row>
    <x:row r="84" ht="75.5999984741211" hidden="0" customHeight="1">
      <x:c r="A84" s="10" t="str">
        <x:v>LINK-0083</x:v>
      </x:c>
      <x:c r="B84" s="10" t="n">
        <x:v>27</x:v>
      </x:c>
      <x:c r="C84" s="10" t="str">
        <x:v>QZBW-/BIOZBW-Einzelzertifizierung (EZ)</x:v>
      </x:c>
      <x:c r="D84" s="10" t="str">
        <x:v>EZ-Kontrolldaten</x:v>
      </x:c>
      <x:c r="E84" s="10" t="str">
        <x:v>Übermittlungsart</x:v>
      </x:c>
      <x:c r="F84" s="10" t="str">
        <x:v>Online-Angebot</x:v>
      </x:c>
      <x:c r="G84" s="10" t="str">
        <x:v>https://www.gemeinschaftsmarketing-bw.de/</x:v>
      </x:c>
      <x:c r="H84" s="10" t="e">
        <x:f>HYPERLINK("https://www.gemeinschaftsmarketing-bw.de/","Quelle öffnen")</x:f>
        <x:v>HYPERLINK is not implemented. linkLocation=https://www.gemeinschaftsmarketing-bw.de/, friendlyName=Quelle öffnen</x:v>
      </x:c>
    </x:row>
    <x:row r="85" ht="64.80000305175781" hidden="0" customHeight="1">
      <x:c r="A85" s="10" t="str">
        <x:v>LINK-0084</x:v>
      </x:c>
      <x:c r="B85" s="10" t="n">
        <x:v>27</x:v>
      </x:c>
      <x:c r="C85" s="10" t="str">
        <x:v>QZBW-/BIOZBW-Einzelzertifizierung (EZ)</x:v>
      </x:c>
      <x:c r="D85" s="10" t="str">
        <x:v>EZ-Kontrolldaten</x:v>
      </x:c>
      <x:c r="E85" s="10" t="str">
        <x:v>Übermittlungsart</x:v>
      </x:c>
      <x:c r="F85" s="10" t="str">
        <x:v>Online-Angebot</x:v>
      </x:c>
      <x:c r="G85" s="10" t="str">
        <x:v>https://www.bio-aus-bw.de/</x:v>
      </x:c>
      <x:c r="H85" s="10" t="e">
        <x:f>HYPERLINK("https://www.bio-aus-bw.de/","Quelle öffnen")</x:f>
        <x:v>HYPERLINK is not implemented. linkLocation=https://www.bio-aus-bw.de/, friendlyName=Quelle öffnen</x:v>
      </x:c>
    </x:row>
    <x:row r="86" ht="64.80000305175781" hidden="0" customHeight="1">
      <x:c r="A86" s="10" t="str">
        <x:v>LINK-0085</x:v>
      </x:c>
      <x:c r="B86" s="10" t="n">
        <x:v>28</x:v>
      </x:c>
      <x:c r="C86" s="10" t="str">
        <x:v>QZBW-/BIOZBW-Gruppenzertifizierung (GZ) und Qualitätsmanagementsystem (QMS)</x:v>
      </x:c>
      <x:c r="D86" s="10" t="str">
        <x:v>Teilnahme- und Mitgliedsdaten</x:v>
      </x:c>
      <x:c r="E86" s="10" t="str">
        <x:v>Grundlagendokument</x:v>
      </x:c>
      <x:c r="F86" s="10" t="str">
        <x:v>QZBW – Anforderungen an Erzeugergruppen, Stand 01.01.2023</x:v>
      </x:c>
      <x:c r="G86" s="10" t="str">
        <x:v>https://mbw.imageplant.de/</x:v>
      </x:c>
      <x:c r="H86" s="10" t="e">
        <x:f>HYPERLINK("https://mbw.imageplant.de/","Quelle öffnen")</x:f>
        <x:v>HYPERLINK is not implemented. linkLocation=https://mbw.imageplant.de/, friendlyName=Quelle öffnen</x:v>
      </x:c>
    </x:row>
    <x:row r="87" ht="64.80000305175781" hidden="0" customHeight="1">
      <x:c r="A87" s="10" t="str">
        <x:v>LINK-0086</x:v>
      </x:c>
      <x:c r="B87" s="10" t="n">
        <x:v>28</x:v>
      </x:c>
      <x:c r="C87" s="10" t="str">
        <x:v>QZBW-/BIOZBW-Gruppenzertifizierung (GZ) und Qualitätsmanagementsystem (QMS)</x:v>
      </x:c>
      <x:c r="D87" s="10" t="str">
        <x:v>Teilnahme- und Mitgliedsdaten</x:v>
      </x:c>
      <x:c r="E87" s="10" t="str">
        <x:v>Grundlagendokument</x:v>
      </x:c>
      <x:c r="F87" s="10" t="str">
        <x:v>QZBW – Teilnahmevereinbarung Gruppenzertifizierung, Stand 2023</x:v>
      </x:c>
      <x:c r="G87" s="10" t="str">
        <x:v>https://mbw.imageplant.de/</x:v>
      </x:c>
      <x:c r="H87" s="10" t="e">
        <x:f>HYPERLINK("https://mbw.imageplant.de/","Quelle öffnen")</x:f>
        <x:v>HYPERLINK is not implemented. linkLocation=https://mbw.imageplant.de/, friendlyName=Quelle öffnen</x:v>
      </x:c>
    </x:row>
    <x:row r="88" ht="64.80000305175781" hidden="0" customHeight="1">
      <x:c r="A88" s="10" t="str">
        <x:v>LINK-0087</x:v>
      </x:c>
      <x:c r="B88" s="10" t="n">
        <x:v>28</x:v>
      </x:c>
      <x:c r="C88" s="10" t="str">
        <x:v>QZBW-/BIOZBW-Gruppenzertifizierung (GZ) und Qualitätsmanagementsystem (QMS)</x:v>
      </x:c>
      <x:c r="D88" s="10" t="str">
        <x:v>Teilnahme- und Mitgliedsdaten</x:v>
      </x:c>
      <x:c r="E88" s="10" t="str">
        <x:v>Grundlagendokument</x:v>
      </x:c>
      <x:c r="F88" s="10" t="str">
        <x:v>BIOZBW – Programmbestimmungen, Stand 01.01.2026</x:v>
      </x:c>
      <x:c r="G88" s="10" t="str">
        <x:v>https://mbw.imageplant.de/</x:v>
      </x:c>
      <x:c r="H88" s="10" t="e">
        <x:f>HYPERLINK("https://mbw.imageplant.de/","Quelle öffnen")</x:f>
        <x:v>HYPERLINK is not implemented. linkLocation=https://mbw.imageplant.de/, friendlyName=Quelle öffnen</x:v>
      </x:c>
    </x:row>
    <x:row r="89" ht="75.5999984741211" hidden="0" customHeight="1">
      <x:c r="A89" s="10" t="str">
        <x:v>LINK-0088</x:v>
      </x:c>
      <x:c r="B89" s="10" t="n">
        <x:v>28</x:v>
      </x:c>
      <x:c r="C89" s="10" t="str">
        <x:v>QZBW-/BIOZBW-Gruppenzertifizierung (GZ) und Qualitätsmanagementsystem (QMS)</x:v>
      </x:c>
      <x:c r="D89" s="10" t="str">
        <x:v>Teilnahme- und Mitgliedsdaten</x:v>
      </x:c>
      <x:c r="E89" s="10" t="str">
        <x:v>Grundlagendokument</x:v>
      </x:c>
      <x:c r="F89" s="10" t="str">
        <x:v>Verordnung (EU) 2018/848</x:v>
      </x:c>
      <x:c r="G89" s="10" t="str">
        <x:v>https://eur-lex.europa.eu/eli/reg/2018/848/oj?locale=de</x:v>
      </x:c>
      <x:c r="H89" s="10" t="e">
        <x:f>HYPERLINK("https://eur-lex.europa.eu/eli/reg/2018/848/oj?locale=de","Quelle öffnen")</x:f>
        <x:v>HYPERLINK is not implemented. linkLocation=https://eur-lex.europa.eu/eli/reg/2018/848/oj?locale=de, friendlyName=Quelle öffnen</x:v>
      </x:c>
    </x:row>
    <x:row r="90" ht="86.4000015258789" hidden="0" customHeight="1">
      <x:c r="A90" s="10" t="str">
        <x:v>LINK-0089</x:v>
      </x:c>
      <x:c r="B90" s="10" t="n">
        <x:v>28</x:v>
      </x:c>
      <x:c r="C90" s="10" t="str">
        <x:v>QZBW-/BIOZBW-Gruppenzertifizierung (GZ) und Qualitätsmanagementsystem (QMS)</x:v>
      </x:c>
      <x:c r="D90" s="10" t="str">
        <x:v>Teilnahme- und Mitgliedsdaten</x:v>
      </x:c>
      <x:c r="E90" s="10" t="str">
        <x:v>Grundlagendokument</x:v>
      </x:c>
      <x:c r="F90" s="10" t="str">
        <x:v>Delegierte Verordnung (EU) 2021/715</x:v>
      </x:c>
      <x:c r="G90" s="10" t="str">
        <x:v>https://eur-lex.europa.eu/legal-content/DE/ALL/?uri=CELEX:32021R0715</x:v>
      </x:c>
      <x:c r="H90" s="10" t="e">
        <x:f>HYPERLINK("https://eur-lex.europa.eu/legal-content/DE/ALL/?uri=CELEX:32021R0715","Quelle öffnen")</x:f>
        <x:v>HYPERLINK is not implemented. linkLocation=https://eur-lex.europa.eu/legal-content/DE/ALL/?uri=CELEX:32021R0715, friendlyName=Quelle öffnen</x:v>
      </x:c>
    </x:row>
    <x:row r="91" ht="86.4000015258789" hidden="0" customHeight="1">
      <x:c r="A91" s="10" t="str">
        <x:v>LINK-0090</x:v>
      </x:c>
      <x:c r="B91" s="10" t="n">
        <x:v>28</x:v>
      </x:c>
      <x:c r="C91" s="10" t="str">
        <x:v>QZBW-/BIOZBW-Gruppenzertifizierung (GZ) und Qualitätsmanagementsystem (QMS)</x:v>
      </x:c>
      <x:c r="D91" s="10" t="str">
        <x:v>Teilnahme- und Mitgliedsdaten</x:v>
      </x:c>
      <x:c r="E91" s="10" t="str">
        <x:v>Grundlagendokument</x:v>
      </x:c>
      <x:c r="F91" s="10" t="str">
        <x:v>Durchführungsverordnung (EU) 2021/279</x:v>
      </x:c>
      <x:c r="G91" s="10" t="str">
        <x:v>https://eur-lex.europa.eu/legal-content/DE/ALL/?uri=CELEX:32021R0279</x:v>
      </x:c>
      <x:c r="H91" s="10" t="e">
        <x:f>HYPERLINK("https://eur-lex.europa.eu/legal-content/DE/ALL/?uri=CELEX:32021R0279","Quelle öffnen")</x:f>
        <x:v>HYPERLINK is not implemented. linkLocation=https://eur-lex.europa.eu/legal-content/DE/ALL/?uri=CELEX:32021R0279, friendlyName=Quelle öffnen</x:v>
      </x:c>
    </x:row>
    <x:row r="92" ht="64.80000305175781" hidden="0" customHeight="1">
      <x:c r="A92" s="10" t="str">
        <x:v>LINK-0091</x:v>
      </x:c>
      <x:c r="B92" s="10" t="n">
        <x:v>28</x:v>
      </x:c>
      <x:c r="C92" s="10" t="str">
        <x:v>QZBW-/BIOZBW-Gruppenzertifizierung (GZ) und Qualitätsmanagementsystem (QMS)</x:v>
      </x:c>
      <x:c r="D92" s="10" t="str">
        <x:v>Teilnahme- und Mitgliedsdaten</x:v>
      </x:c>
      <x:c r="E92" s="10" t="str">
        <x:v>Übermittlungsart</x:v>
      </x:c>
      <x:c r="F92" s="10" t="str">
        <x:v>MBW-Portal</x:v>
      </x:c>
      <x:c r="G92" s="10" t="str">
        <x:v>https://mbw.imageplant.de/</x:v>
      </x:c>
      <x:c r="H92" s="10" t="e">
        <x:f>HYPERLINK("https://mbw.imageplant.de/","Quelle öffnen")</x:f>
        <x:v>HYPERLINK is not implemented. linkLocation=https://mbw.imageplant.de/, friendlyName=Quelle öffnen</x:v>
      </x:c>
    </x:row>
    <x:row r="93" ht="64.80000305175781" hidden="0" customHeight="1">
      <x:c r="A93" s="10" t="str">
        <x:v>LINK-0092</x:v>
      </x:c>
      <x:c r="B93" s="10" t="n">
        <x:v>28</x:v>
      </x:c>
      <x:c r="C93" s="10" t="str">
        <x:v>QZBW-/BIOZBW-Gruppenzertifizierung (GZ) und Qualitätsmanagementsystem (QMS)</x:v>
      </x:c>
      <x:c r="D93" s="10" t="str">
        <x:v>Teilnahme- und Mitgliedsdaten</x:v>
      </x:c>
      <x:c r="E93" s="10" t="str">
        <x:v>Übermittlungsart</x:v>
      </x:c>
      <x:c r="F93" s="10" t="str">
        <x:v>MBW-Portal</x:v>
      </x:c>
      <x:c r="G93" s="10" t="str">
        <x:v>https://mbw.imageplant.de/</x:v>
      </x:c>
      <x:c r="H93" s="10" t="e">
        <x:f>HYPERLINK("https://mbw.imageplant.de/","Quelle öffnen")</x:f>
        <x:v>HYPERLINK is not implemented. linkLocation=https://mbw.imageplant.de/, friendlyName=Quelle öffnen</x:v>
      </x:c>
    </x:row>
    <x:row r="94" ht="64.80000305175781" hidden="0" customHeight="1">
      <x:c r="A94" s="10" t="str">
        <x:v>LINK-0093</x:v>
      </x:c>
      <x:c r="B94" s="10" t="n">
        <x:v>29</x:v>
      </x:c>
      <x:c r="C94" s="10" t="str">
        <x:v>QZBW-/BIOZBW-Gruppenzertifizierung (GZ) und Qualitätsmanagementsystem (QMS)</x:v>
      </x:c>
      <x:c r="D94" s="10" t="str">
        <x:v>QMS-Kontrollpaket</x:v>
      </x:c>
      <x:c r="E94" s="10" t="str">
        <x:v>Grundlagendokument</x:v>
      </x:c>
      <x:c r="F94" s="10" t="str">
        <x:v>QZBW – Anforderungen an Erzeugergruppen, Stand 01.01.2023</x:v>
      </x:c>
      <x:c r="G94" s="10" t="str">
        <x:v>https://mbw.imageplant.de/</x:v>
      </x:c>
      <x:c r="H94" s="10" t="e">
        <x:f>HYPERLINK("https://mbw.imageplant.de/","Quelle öffnen")</x:f>
        <x:v>HYPERLINK is not implemented. linkLocation=https://mbw.imageplant.de/, friendlyName=Quelle öffnen</x:v>
      </x:c>
    </x:row>
    <x:row r="95" ht="64.80000305175781" hidden="0" customHeight="1">
      <x:c r="A95" s="10" t="str">
        <x:v>LINK-0094</x:v>
      </x:c>
      <x:c r="B95" s="10" t="n">
        <x:v>29</x:v>
      </x:c>
      <x:c r="C95" s="10" t="str">
        <x:v>QZBW-/BIOZBW-Gruppenzertifizierung (GZ) und Qualitätsmanagementsystem (QMS)</x:v>
      </x:c>
      <x:c r="D95" s="10" t="str">
        <x:v>QMS-Kontrollpaket</x:v>
      </x:c>
      <x:c r="E95" s="10" t="str">
        <x:v>Grundlagendokument</x:v>
      </x:c>
      <x:c r="F95" s="10" t="str">
        <x:v>QZBW – Teilnahmevereinbarung Gruppenzertifizierung, Stand 2023</x:v>
      </x:c>
      <x:c r="G95" s="10" t="str">
        <x:v>https://mbw.imageplant.de/</x:v>
      </x:c>
      <x:c r="H95" s="10" t="e">
        <x:f>HYPERLINK("https://mbw.imageplant.de/","Quelle öffnen")</x:f>
        <x:v>HYPERLINK is not implemented. linkLocation=https://mbw.imageplant.de/, friendlyName=Quelle öffnen</x:v>
      </x:c>
    </x:row>
    <x:row r="96" ht="64.80000305175781" hidden="0" customHeight="1">
      <x:c r="A96" s="10" t="str">
        <x:v>LINK-0095</x:v>
      </x:c>
      <x:c r="B96" s="10" t="n">
        <x:v>29</x:v>
      </x:c>
      <x:c r="C96" s="10" t="str">
        <x:v>QZBW-/BIOZBW-Gruppenzertifizierung (GZ) und Qualitätsmanagementsystem (QMS)</x:v>
      </x:c>
      <x:c r="D96" s="10" t="str">
        <x:v>QMS-Kontrollpaket</x:v>
      </x:c>
      <x:c r="E96" s="10" t="str">
        <x:v>Grundlagendokument</x:v>
      </x:c>
      <x:c r="F96" s="10" t="str">
        <x:v>BIOZBW – Programmbestimmungen, Stand 01.01.2026</x:v>
      </x:c>
      <x:c r="G96" s="10" t="str">
        <x:v>https://mbw.imageplant.de/</x:v>
      </x:c>
      <x:c r="H96" s="10" t="e">
        <x:f>HYPERLINK("https://mbw.imageplant.de/","Quelle öffnen")</x:f>
        <x:v>HYPERLINK is not implemented. linkLocation=https://mbw.imageplant.de/, friendlyName=Quelle öffnen</x:v>
      </x:c>
    </x:row>
    <x:row r="97" ht="75.5999984741211" hidden="0" customHeight="1">
      <x:c r="A97" s="10" t="str">
        <x:v>LINK-0096</x:v>
      </x:c>
      <x:c r="B97" s="10" t="n">
        <x:v>29</x:v>
      </x:c>
      <x:c r="C97" s="10" t="str">
        <x:v>QZBW-/BIOZBW-Gruppenzertifizierung (GZ) und Qualitätsmanagementsystem (QMS)</x:v>
      </x:c>
      <x:c r="D97" s="10" t="str">
        <x:v>QMS-Kontrollpaket</x:v>
      </x:c>
      <x:c r="E97" s="10" t="str">
        <x:v>Grundlagendokument</x:v>
      </x:c>
      <x:c r="F97" s="10" t="str">
        <x:v>Verordnung (EU) 2018/848</x:v>
      </x:c>
      <x:c r="G97" s="10" t="str">
        <x:v>https://eur-lex.europa.eu/eli/reg/2018/848/oj?locale=de</x:v>
      </x:c>
      <x:c r="H97" s="10" t="e">
        <x:f>HYPERLINK("https://eur-lex.europa.eu/eli/reg/2018/848/oj?locale=de","Quelle öffnen")</x:f>
        <x:v>HYPERLINK is not implemented. linkLocation=https://eur-lex.europa.eu/eli/reg/2018/848/oj?locale=de, friendlyName=Quelle öffnen</x:v>
      </x:c>
    </x:row>
    <x:row r="98" ht="86.4000015258789" hidden="0" customHeight="1">
      <x:c r="A98" s="10" t="str">
        <x:v>LINK-0097</x:v>
      </x:c>
      <x:c r="B98" s="10" t="n">
        <x:v>29</x:v>
      </x:c>
      <x:c r="C98" s="10" t="str">
        <x:v>QZBW-/BIOZBW-Gruppenzertifizierung (GZ) und Qualitätsmanagementsystem (QMS)</x:v>
      </x:c>
      <x:c r="D98" s="10" t="str">
        <x:v>QMS-Kontrollpaket</x:v>
      </x:c>
      <x:c r="E98" s="10" t="str">
        <x:v>Grundlagendokument</x:v>
      </x:c>
      <x:c r="F98" s="10" t="str">
        <x:v>Delegierte Verordnung (EU) 2021/715</x:v>
      </x:c>
      <x:c r="G98" s="10" t="str">
        <x:v>https://eur-lex.europa.eu/legal-content/DE/ALL/?uri=CELEX:32021R0715</x:v>
      </x:c>
      <x:c r="H98" s="10" t="e">
        <x:f>HYPERLINK("https://eur-lex.europa.eu/legal-content/DE/ALL/?uri=CELEX:32021R0715","Quelle öffnen")</x:f>
        <x:v>HYPERLINK is not implemented. linkLocation=https://eur-lex.europa.eu/legal-content/DE/ALL/?uri=CELEX:32021R0715, friendlyName=Quelle öffnen</x:v>
      </x:c>
    </x:row>
    <x:row r="99" ht="86.4000015258789" hidden="0" customHeight="1">
      <x:c r="A99" s="10" t="str">
        <x:v>LINK-0098</x:v>
      </x:c>
      <x:c r="B99" s="10" t="n">
        <x:v>29</x:v>
      </x:c>
      <x:c r="C99" s="10" t="str">
        <x:v>QZBW-/BIOZBW-Gruppenzertifizierung (GZ) und Qualitätsmanagementsystem (QMS)</x:v>
      </x:c>
      <x:c r="D99" s="10" t="str">
        <x:v>QMS-Kontrollpaket</x:v>
      </x:c>
      <x:c r="E99" s="10" t="str">
        <x:v>Grundlagendokument</x:v>
      </x:c>
      <x:c r="F99" s="10" t="str">
        <x:v>Durchführungsverordnung (EU) 2021/279</x:v>
      </x:c>
      <x:c r="G99" s="10" t="str">
        <x:v>https://eur-lex.europa.eu/legal-content/DE/ALL/?uri=CELEX:32021R0279</x:v>
      </x:c>
      <x:c r="H99" s="10" t="e">
        <x:f>HYPERLINK("https://eur-lex.europa.eu/legal-content/DE/ALL/?uri=CELEX:32021R0279","Quelle öffnen")</x:f>
        <x:v>HYPERLINK is not implemented. linkLocation=https://eur-lex.europa.eu/legal-content/DE/ALL/?uri=CELEX:32021R0279, friendlyName=Quelle öffnen</x:v>
      </x:c>
    </x:row>
    <x:row r="100" ht="64.80000305175781" hidden="0" customHeight="1">
      <x:c r="A100" s="10" t="str">
        <x:v>LINK-0099</x:v>
      </x:c>
      <x:c r="B100" s="10" t="n">
        <x:v>29</x:v>
      </x:c>
      <x:c r="C100" s="10" t="str">
        <x:v>QZBW-/BIOZBW-Gruppenzertifizierung (GZ) und Qualitätsmanagementsystem (QMS)</x:v>
      </x:c>
      <x:c r="D100" s="10" t="str">
        <x:v>QMS-Kontrollpaket</x:v>
      </x:c>
      <x:c r="E100" s="10" t="str">
        <x:v>Übermittlungsart</x:v>
      </x:c>
      <x:c r="F100" s="10" t="str">
        <x:v>MBW-Portal</x:v>
      </x:c>
      <x:c r="G100" s="10" t="str">
        <x:v>https://mbw.imageplant.de/</x:v>
      </x:c>
      <x:c r="H100" s="10" t="e">
        <x:f>HYPERLINK("https://mbw.imageplant.de/","Quelle öffnen")</x:f>
        <x:v>HYPERLINK is not implemented. linkLocation=https://mbw.imageplant.de/, friendlyName=Quelle öffnen</x:v>
      </x:c>
    </x:row>
    <x:row r="101" ht="64.80000305175781" hidden="0" customHeight="1">
      <x:c r="A101" s="10" t="str">
        <x:v>LINK-0100</x:v>
      </x:c>
      <x:c r="B101" s="10" t="n">
        <x:v>29</x:v>
      </x:c>
      <x:c r="C101" s="10" t="str">
        <x:v>QZBW-/BIOZBW-Gruppenzertifizierung (GZ) und Qualitätsmanagementsystem (QMS)</x:v>
      </x:c>
      <x:c r="D101" s="10" t="str">
        <x:v>QMS-Kontrollpaket</x:v>
      </x:c>
      <x:c r="E101" s="10" t="str">
        <x:v>Übermittlungsart</x:v>
      </x:c>
      <x:c r="F101" s="10" t="str">
        <x:v>MBW-Portal</x:v>
      </x:c>
      <x:c r="G101" s="10" t="str">
        <x:v>https://mbw.imageplant.de/</x:v>
      </x:c>
      <x:c r="H101" s="10" t="e">
        <x:f>HYPERLINK("https://mbw.imageplant.de/","Quelle öffnen")</x:f>
        <x:v>HYPERLINK is not implemented. linkLocation=https://mbw.imageplant.de/, friendlyName=Quelle öffnen</x:v>
      </x:c>
    </x:row>
    <x:row r="102" ht="64.80000305175781" hidden="0" customHeight="1">
      <x:c r="A102" s="10" t="str">
        <x:v>LINK-0101</x:v>
      </x:c>
      <x:c r="B102" s="10" t="n">
        <x:v>30</x:v>
      </x:c>
      <x:c r="C102" s="10" t="str">
        <x:v>QZBW-/BIOZBW-Gruppenzertifizierung (GZ) und Qualitätsmanagementsystem (QMS)</x:v>
      </x:c>
      <x:c r="D102" s="10" t="str">
        <x:v>QMS-Kontrollbericht und Zertifikat</x:v>
      </x:c>
      <x:c r="E102" s="10" t="str">
        <x:v>Grundlagendokument</x:v>
      </x:c>
      <x:c r="F102" s="10" t="str">
        <x:v>QZBW – Anforderungen an Erzeugergruppen, Stand 01.01.2023</x:v>
      </x:c>
      <x:c r="G102" s="10" t="str">
        <x:v>https://mbw.imageplant.de/</x:v>
      </x:c>
      <x:c r="H102" s="10" t="e">
        <x:f>HYPERLINK("https://mbw.imageplant.de/","Quelle öffnen")</x:f>
        <x:v>HYPERLINK is not implemented. linkLocation=https://mbw.imageplant.de/, friendlyName=Quelle öffnen</x:v>
      </x:c>
    </x:row>
    <x:row r="103" ht="64.80000305175781" hidden="0" customHeight="1">
      <x:c r="A103" s="10" t="str">
        <x:v>LINK-0102</x:v>
      </x:c>
      <x:c r="B103" s="10" t="n">
        <x:v>30</x:v>
      </x:c>
      <x:c r="C103" s="10" t="str">
        <x:v>QZBW-/BIOZBW-Gruppenzertifizierung (GZ) und Qualitätsmanagementsystem (QMS)</x:v>
      </x:c>
      <x:c r="D103" s="10" t="str">
        <x:v>QMS-Kontrollbericht und Zertifikat</x:v>
      </x:c>
      <x:c r="E103" s="10" t="str">
        <x:v>Grundlagendokument</x:v>
      </x:c>
      <x:c r="F103" s="10" t="str">
        <x:v>QZBW – Teilnahmevereinbarung Gruppenzertifizierung, Stand 2023</x:v>
      </x:c>
      <x:c r="G103" s="10" t="str">
        <x:v>https://mbw.imageplant.de/</x:v>
      </x:c>
      <x:c r="H103" s="10" t="e">
        <x:f>HYPERLINK("https://mbw.imageplant.de/","Quelle öffnen")</x:f>
        <x:v>HYPERLINK is not implemented. linkLocation=https://mbw.imageplant.de/, friendlyName=Quelle öffnen</x:v>
      </x:c>
    </x:row>
    <x:row r="104" ht="64.80000305175781" hidden="0" customHeight="1">
      <x:c r="A104" s="10" t="str">
        <x:v>LINK-0103</x:v>
      </x:c>
      <x:c r="B104" s="10" t="n">
        <x:v>30</x:v>
      </x:c>
      <x:c r="C104" s="10" t="str">
        <x:v>QZBW-/BIOZBW-Gruppenzertifizierung (GZ) und Qualitätsmanagementsystem (QMS)</x:v>
      </x:c>
      <x:c r="D104" s="10" t="str">
        <x:v>QMS-Kontrollbericht und Zertifikat</x:v>
      </x:c>
      <x:c r="E104" s="10" t="str">
        <x:v>Grundlagendokument</x:v>
      </x:c>
      <x:c r="F104" s="10" t="str">
        <x:v>BIOZBW – Programmbestimmungen, Stand 01.01.2026</x:v>
      </x:c>
      <x:c r="G104" s="10" t="str">
        <x:v>https://mbw.imageplant.de/</x:v>
      </x:c>
      <x:c r="H104" s="10" t="e">
        <x:f>HYPERLINK("https://mbw.imageplant.de/","Quelle öffnen")</x:f>
        <x:v>HYPERLINK is not implemented. linkLocation=https://mbw.imageplant.de/, friendlyName=Quelle öffnen</x:v>
      </x:c>
    </x:row>
    <x:row r="105" ht="75.5999984741211" hidden="0" customHeight="1">
      <x:c r="A105" s="10" t="str">
        <x:v>LINK-0104</x:v>
      </x:c>
      <x:c r="B105" s="10" t="n">
        <x:v>30</x:v>
      </x:c>
      <x:c r="C105" s="10" t="str">
        <x:v>QZBW-/BIOZBW-Gruppenzertifizierung (GZ) und Qualitätsmanagementsystem (QMS)</x:v>
      </x:c>
      <x:c r="D105" s="10" t="str">
        <x:v>QMS-Kontrollbericht und Zertifikat</x:v>
      </x:c>
      <x:c r="E105" s="10" t="str">
        <x:v>Grundlagendokument</x:v>
      </x:c>
      <x:c r="F105" s="10" t="str">
        <x:v>Verordnung (EU) 2018/848</x:v>
      </x:c>
      <x:c r="G105" s="10" t="str">
        <x:v>https://eur-lex.europa.eu/eli/reg/2018/848/oj?locale=de</x:v>
      </x:c>
      <x:c r="H105" s="10" t="e">
        <x:f>HYPERLINK("https://eur-lex.europa.eu/eli/reg/2018/848/oj?locale=de","Quelle öffnen")</x:f>
        <x:v>HYPERLINK is not implemented. linkLocation=https://eur-lex.europa.eu/eli/reg/2018/848/oj?locale=de, friendlyName=Quelle öffnen</x:v>
      </x:c>
    </x:row>
    <x:row r="106" ht="86.4000015258789" hidden="0" customHeight="1">
      <x:c r="A106" s="10" t="str">
        <x:v>LINK-0105</x:v>
      </x:c>
      <x:c r="B106" s="10" t="n">
        <x:v>30</x:v>
      </x:c>
      <x:c r="C106" s="10" t="str">
        <x:v>QZBW-/BIOZBW-Gruppenzertifizierung (GZ) und Qualitätsmanagementsystem (QMS)</x:v>
      </x:c>
      <x:c r="D106" s="10" t="str">
        <x:v>QMS-Kontrollbericht und Zertifikat</x:v>
      </x:c>
      <x:c r="E106" s="10" t="str">
        <x:v>Grundlagendokument</x:v>
      </x:c>
      <x:c r="F106" s="10" t="str">
        <x:v>Delegierte Verordnung (EU) 2021/715</x:v>
      </x:c>
      <x:c r="G106" s="10" t="str">
        <x:v>https://eur-lex.europa.eu/legal-content/DE/ALL/?uri=CELEX:32021R0715</x:v>
      </x:c>
      <x:c r="H106" s="10" t="e">
        <x:f>HYPERLINK("https://eur-lex.europa.eu/legal-content/DE/ALL/?uri=CELEX:32021R0715","Quelle öffnen")</x:f>
        <x:v>HYPERLINK is not implemented. linkLocation=https://eur-lex.europa.eu/legal-content/DE/ALL/?uri=CELEX:32021R0715, friendlyName=Quelle öffnen</x:v>
      </x:c>
    </x:row>
    <x:row r="107" ht="86.4000015258789" hidden="0" customHeight="1">
      <x:c r="A107" s="10" t="str">
        <x:v>LINK-0106</x:v>
      </x:c>
      <x:c r="B107" s="10" t="n">
        <x:v>30</x:v>
      </x:c>
      <x:c r="C107" s="10" t="str">
        <x:v>QZBW-/BIOZBW-Gruppenzertifizierung (GZ) und Qualitätsmanagementsystem (QMS)</x:v>
      </x:c>
      <x:c r="D107" s="10" t="str">
        <x:v>QMS-Kontrollbericht und Zertifikat</x:v>
      </x:c>
      <x:c r="E107" s="10" t="str">
        <x:v>Grundlagendokument</x:v>
      </x:c>
      <x:c r="F107" s="10" t="str">
        <x:v>Durchführungsverordnung (EU) 2021/279</x:v>
      </x:c>
      <x:c r="G107" s="10" t="str">
        <x:v>https://eur-lex.europa.eu/legal-content/DE/ALL/?uri=CELEX:32021R0279</x:v>
      </x:c>
      <x:c r="H107" s="10" t="e">
        <x:f>HYPERLINK("https://eur-lex.europa.eu/legal-content/DE/ALL/?uri=CELEX:32021R0279","Quelle öffnen")</x:f>
        <x:v>HYPERLINK is not implemented. linkLocation=https://eur-lex.europa.eu/legal-content/DE/ALL/?uri=CELEX:32021R0279, friendlyName=Quelle öffnen</x:v>
      </x:c>
    </x:row>
    <x:row r="108" ht="64.80000305175781" hidden="0" customHeight="1">
      <x:c r="A108" s="10" t="str">
        <x:v>LINK-0107</x:v>
      </x:c>
      <x:c r="B108" s="10" t="n">
        <x:v>30</x:v>
      </x:c>
      <x:c r="C108" s="10" t="str">
        <x:v>QZBW-/BIOZBW-Gruppenzertifizierung (GZ) und Qualitätsmanagementsystem (QMS)</x:v>
      </x:c>
      <x:c r="D108" s="10" t="str">
        <x:v>QMS-Kontrollbericht und Zertifikat</x:v>
      </x:c>
      <x:c r="E108" s="10" t="str">
        <x:v>Übermittlungsart</x:v>
      </x:c>
      <x:c r="F108" s="10" t="str">
        <x:v>MBW-Portal</x:v>
      </x:c>
      <x:c r="G108" s="10" t="str">
        <x:v>https://mbw.imageplant.de/</x:v>
      </x:c>
      <x:c r="H108" s="10" t="e">
        <x:f>HYPERLINK("https://mbw.imageplant.de/","Quelle öffnen")</x:f>
        <x:v>HYPERLINK is not implemented. linkLocation=https://mbw.imageplant.de/, friendlyName=Quelle öffnen</x:v>
      </x:c>
    </x:row>
    <x:row r="109" ht="64.80000305175781" hidden="0" customHeight="1">
      <x:c r="A109" s="10" t="str">
        <x:v>LINK-0108</x:v>
      </x:c>
      <x:c r="B109" s="10" t="n">
        <x:v>30</x:v>
      </x:c>
      <x:c r="C109" s="10" t="str">
        <x:v>QZBW-/BIOZBW-Gruppenzertifizierung (GZ) und Qualitätsmanagementsystem (QMS)</x:v>
      </x:c>
      <x:c r="D109" s="10" t="str">
        <x:v>QMS-Kontrollbericht und Zertifikat</x:v>
      </x:c>
      <x:c r="E109" s="10" t="str">
        <x:v>Übermittlungsart</x:v>
      </x:c>
      <x:c r="F109" s="10" t="str">
        <x:v>MBW-Portal</x:v>
      </x:c>
      <x:c r="G109" s="10" t="str">
        <x:v>https://mbw.imageplant.de/</x:v>
      </x:c>
      <x:c r="H109" s="10" t="e">
        <x:f>HYPERLINK("https://mbw.imageplant.de/","Quelle öffnen")</x:f>
        <x:v>HYPERLINK is not implemented. linkLocation=https://mbw.imageplant.de/, friendlyName=Quelle öffnen</x:v>
      </x:c>
    </x:row>
    <x:row r="110" ht="64.80000305175781" hidden="0" customHeight="1">
      <x:c r="A110" s="10" t="str">
        <x:v>LINK-0109</x:v>
      </x:c>
      <x:c r="B110" s="10" t="n">
        <x:v>31</x:v>
      </x:c>
      <x:c r="C110" s="10" t="str">
        <x:v>Weitere Zertifizierungsprogramme</x:v>
      </x:c>
      <x:c r="D110" s="10" t="str">
        <x:v>Zertifizierungsnachweise</x:v>
      </x:c>
      <x:c r="E110" s="10" t="str">
        <x:v>Grundlagendokument</x:v>
      </x:c>
      <x:c r="F110" s="10" t="str">
        <x:v>IFS Standards</x:v>
      </x:c>
      <x:c r="G110" s="10" t="str">
        <x:v>https://www.ifs-certification.com/</x:v>
      </x:c>
      <x:c r="H110" s="10" t="e">
        <x:f>HYPERLINK("https://www.ifs-certification.com/","Quelle öffnen")</x:f>
        <x:v>HYPERLINK is not implemented. linkLocation=https://www.ifs-certification.com/, friendlyName=Quelle öffnen</x:v>
      </x:c>
    </x:row>
    <x:row r="111" ht="64.80000305175781" hidden="0" customHeight="1">
      <x:c r="A111" s="10" t="str">
        <x:v>LINK-0110</x:v>
      </x:c>
      <x:c r="B111" s="10" t="n">
        <x:v>31</x:v>
      </x:c>
      <x:c r="C111" s="10" t="str">
        <x:v>Weitere Zertifizierungsprogramme</x:v>
      </x:c>
      <x:c r="D111" s="10" t="str">
        <x:v>Zertifizierungsnachweise</x:v>
      </x:c>
      <x:c r="E111" s="10" t="str">
        <x:v>Grundlagendokument</x:v>
      </x:c>
      <x:c r="F111" s="10" t="str">
        <x:v>ECOVIN Bundesverband Ökologischer</x:v>
      </x:c>
      <x:c r="G111" s="10" t="str">
        <x:v>https://www.ecovin.de/</x:v>
      </x:c>
      <x:c r="H111" s="10" t="e">
        <x:f>HYPERLINK("https://www.ecovin.de/","Quelle öffnen")</x:f>
        <x:v>HYPERLINK is not implemented. linkLocation=https://www.ecovin.de/, friendlyName=Quelle öffnen</x:v>
      </x:c>
    </x:row>
    <x:row r="112" ht="64.80000305175781" hidden="0" customHeight="1">
      <x:c r="A112" s="10" t="str">
        <x:v>LINK-0111</x:v>
      </x:c>
      <x:c r="B112" s="10" t="n">
        <x:v>31</x:v>
      </x:c>
      <x:c r="C112" s="10" t="str">
        <x:v>Weitere Zertifizierungsprogramme</x:v>
      </x:c>
      <x:c r="D112" s="10" t="str">
        <x:v>Zertifizierungsnachweise</x:v>
      </x:c>
      <x:c r="E112" s="10" t="str">
        <x:v>Grundlagendokument</x:v>
      </x:c>
      <x:c r="F112" s="10" t="str">
        <x:v>KLIMAWIN</x:v>
      </x:c>
      <x:c r="G112" s="10" t="str">
        <x:v>https://www.klimawin-bw.de/</x:v>
      </x:c>
      <x:c r="H112" s="10" t="e">
        <x:f>HYPERLINK("https://www.klimawin-bw.de/","Quelle öffnen")</x:f>
        <x:v>HYPERLINK is not implemented. linkLocation=https://www.klimawin-bw.de/, friendlyName=Quelle öffnen</x:v>
      </x:c>
    </x:row>
    <x:row r="113" ht="64.80000305175781" hidden="0" customHeight="1">
      <x:c r="A113" s="10" t="str">
        <x:v>LINK-0112</x:v>
      </x:c>
      <x:c r="B113" s="10" t="n">
        <x:v>32</x:v>
      </x:c>
      <x:c r="C113" s="10" t="str">
        <x:v>Weitere Zertifizierungsprogramme</x:v>
      </x:c>
      <x:c r="D113" s="10" t="str">
        <x:v>Ergebnisse der Kontrolle</x:v>
      </x:c>
      <x:c r="E113" s="10" t="str">
        <x:v>Grundlagendokument</x:v>
      </x:c>
      <x:c r="F113" s="10" t="str">
        <x:v>IFS Standards</x:v>
      </x:c>
      <x:c r="G113" s="10" t="str">
        <x:v>https://www.ifs-certification.com/</x:v>
      </x:c>
      <x:c r="H113" s="10" t="e">
        <x:f>HYPERLINK("https://www.ifs-certification.com/","Quelle öffnen")</x:f>
        <x:v>HYPERLINK is not implemented. linkLocation=https://www.ifs-certification.com/, friendlyName=Quelle öffnen</x:v>
      </x:c>
    </x:row>
    <x:row r="114" ht="64.80000305175781" hidden="0" customHeight="1">
      <x:c r="A114" s="10" t="str">
        <x:v>LINK-0113</x:v>
      </x:c>
      <x:c r="B114" s="10" t="n">
        <x:v>32</x:v>
      </x:c>
      <x:c r="C114" s="10" t="str">
        <x:v>Weitere Zertifizierungsprogramme</x:v>
      </x:c>
      <x:c r="D114" s="10" t="str">
        <x:v>Ergebnisse der Kontrolle</x:v>
      </x:c>
      <x:c r="E114" s="10" t="str">
        <x:v>Grundlagendokument</x:v>
      </x:c>
      <x:c r="F114" s="10" t="str">
        <x:v>ECOVIN Bundesverband Ökologischer Weinbau e.V.</x:v>
      </x:c>
      <x:c r="G114" s="10" t="str">
        <x:v>https://www.ecovin.de/</x:v>
      </x:c>
      <x:c r="H114" s="10" t="e">
        <x:f>HYPERLINK("https://www.ecovin.de/","Quelle öffnen")</x:f>
        <x:v>HYPERLINK is not implemented. linkLocation=https://www.ecovin.de/, friendlyName=Quelle öffnen</x:v>
      </x:c>
    </x:row>
    <x:row r="115" ht="64.80000305175781" hidden="0" customHeight="1">
      <x:c r="A115" s="10" t="str">
        <x:v>LINK-0114</x:v>
      </x:c>
      <x:c r="B115" s="10" t="n">
        <x:v>32</x:v>
      </x:c>
      <x:c r="C115" s="10" t="str">
        <x:v>Weitere Zertifizierungsprogramme</x:v>
      </x:c>
      <x:c r="D115" s="10" t="str">
        <x:v>Ergebnisse der Kontrolle</x:v>
      </x:c>
      <x:c r="E115" s="10" t="str">
        <x:v>Grundlagendokument</x:v>
      </x:c>
      <x:c r="F115" s="10" t="str">
        <x:v>KLIMAWIN</x:v>
      </x:c>
      <x:c r="G115" s="10" t="str">
        <x:v>https://www.klimawin-bw.de/</x:v>
      </x:c>
      <x:c r="H115" s="10" t="e">
        <x:f>HYPERLINK("https://www.klimawin-bw.de/","Quelle öffnen")</x:f>
        <x:v>HYPERLINK is not implemented. linkLocation=https://www.klimawin-bw.de/, friendlyName=Quelle öffnen</x:v>
      </x:c>
    </x:row>
    <x:row r="116" ht="75.5999984741211" hidden="0" customHeight="1">
      <x:c r="A116" s="10" t="str">
        <x:v>LINK-0115</x:v>
      </x:c>
      <x:c r="B116" s="10" t="n">
        <x:v>33</x:v>
      </x:c>
      <x:c r="C116" s="10" t="str">
        <x:v>Weitere Zertifizierungsprogramme</x:v>
      </x:c>
      <x:c r="D116" s="10" t="str">
        <x:v>Verordnung (EU) 2018/848 über ökologische/biologische Produktion</x:v>
      </x:c>
      <x:c r="E116" s="10" t="str">
        <x:v>Grundlagendokument</x:v>
      </x:c>
      <x:c r="F116" s="10" t="str">
        <x:v>Verordnung (EU) 2018/848 des Europäischen Parlaments und des Rates vom 30. Mai 2018 über die ökologische/biologische Produktion und die Kennzeichnung von ökologischen/biologischen Erzeugnissen sowie zur Aufhebung der Verordnung (EG) Nr. 834/2007 des Rates</x:v>
      </x:c>
      <x:c r="G116" s="10" t="str">
        <x:v>https://eur-lex.europa.eu/eli/reg/2018/848/oj?locale=de</x:v>
      </x:c>
      <x:c r="H116" s="10" t="e">
        <x:f>HYPERLINK("https://eur-lex.europa.eu/eli/reg/2018/848/oj?locale=de","Quelle öffnen")</x:f>
        <x:v>HYPERLINK is not implemented. linkLocation=https://eur-lex.europa.eu/eli/reg/2018/848/oj?locale=de, friendlyName=Quelle öffnen</x:v>
      </x:c>
    </x:row>
    <x:row r="117" ht="75.5999984741211" hidden="0" customHeight="1">
      <x:c r="A117" s="10" t="str">
        <x:v>LINK-0116</x:v>
      </x:c>
      <x:c r="B117" s="10" t="n">
        <x:v>34</x:v>
      </x:c>
      <x:c r="C117" s="10" t="str">
        <x:v>Beantragung der A.P.-Nummer und amtliche Qualitätsprüfung</x:v>
      </x:c>
      <x:c r="D117" s="10" t="str">
        <x:v>AP-Antrag</x:v>
      </x:c>
      <x:c r="E117" s="10" t="str">
        <x:v>Grundlagendokument</x:v>
      </x:c>
      <x:c r="F117" s="10" t="str">
        <x:v>Weingesetz</x:v>
      </x:c>
      <x:c r="G117" s="10" t="str">
        <x:v>https://www.gesetze-im-internet.de/weing_1994/</x:v>
      </x:c>
      <x:c r="H117" s="10" t="e">
        <x:f>HYPERLINK("https://www.gesetze-im-internet.de/weing_1994/","Quelle öffnen")</x:f>
        <x:v>HYPERLINK is not implemented. linkLocation=https://www.gesetze-im-internet.de/weing_1994/, friendlyName=Quelle öffnen</x:v>
      </x:c>
    </x:row>
    <x:row r="118" ht="75.5999984741211" hidden="0" customHeight="1">
      <x:c r="A118" s="10" t="str">
        <x:v>LINK-0117</x:v>
      </x:c>
      <x:c r="B118" s="10" t="n">
        <x:v>34</x:v>
      </x:c>
      <x:c r="C118" s="10" t="str">
        <x:v>Beantragung der A.P.-Nummer und amtliche Qualitätsprüfung</x:v>
      </x:c>
      <x:c r="D118" s="10" t="str">
        <x:v>AP-Antrag</x:v>
      </x:c>
      <x:c r="E118" s="10" t="str">
        <x:v>Grundlagendokument</x:v>
      </x:c>
      <x:c r="F118" s="10" t="str">
        <x:v>Wein-Überwachungsverordnung</x:v>
      </x:c>
      <x:c r="G118" s="10" t="str">
        <x:v>https://www.gesetze-im-internet.de/wein_v_1995/</x:v>
      </x:c>
      <x:c r="H118" s="10" t="e">
        <x:f>HYPERLINK("https://www.gesetze-im-internet.de/wein_v_1995/","Quelle öffnen")</x:f>
        <x:v>HYPERLINK is not implemented. linkLocation=https://www.gesetze-im-internet.de/wein_v_1995/, friendlyName=Quelle öffnen</x:v>
      </x:c>
    </x:row>
    <x:row r="119" ht="118.80000305175781" hidden="0" customHeight="1">
      <x:c r="A119" s="10" t="str">
        <x:v>LINK-0118</x:v>
      </x:c>
      <x:c r="B119" s="10" t="n">
        <x:v>34</x:v>
      </x:c>
      <x:c r="C119" s="10" t="str">
        <x:v>Beantragung der A.P.-Nummer und amtliche Qualitätsprüfung</x:v>
      </x:c>
      <x:c r="D119" s="10" t="str">
        <x:v>AP-Antrag</x:v>
      </x:c>
      <x:c r="E119" s="10" t="str">
        <x:v>Übermittlungsart</x:v>
      </x:c>
      <x:c r="F119" s="10" t="str">
        <x:v>Online-Angebot</x:v>
      </x:c>
      <x:c r="G119" s="10" t="str">
        <x:v>https://wbi.landwirtschaft-bw.de/%2CLde/Startseite/Service/Formulare%2Bund%2BAntraege%2Bder%2BWeinbaukartei%2Bund%2BWeinmarktverwaltung</x:v>
      </x:c>
      <x:c r="H119"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120" ht="75.5999984741211" hidden="0" customHeight="1">
      <x:c r="A120" s="10" t="str">
        <x:v>LINK-0119</x:v>
      </x:c>
      <x:c r="B120" s="10" t="n">
        <x:v>36</x:v>
      </x:c>
      <x:c r="C120" s="10" t="str">
        <x:v>QZBW-/BIOZBW-Einzelzertifizierung (EZ)</x:v>
      </x:c>
      <x:c r="D120" s="10" t="str">
        <x:v>EZ-Lizenzunterlagen</x:v>
      </x:c>
      <x:c r="E120" s="10" t="str">
        <x:v>Grundlagendokument</x:v>
      </x:c>
      <x:c r="F120" s="10" t="str">
        <x:v>Qualitätszeichen Baden-Württemberg</x:v>
      </x:c>
      <x:c r="G120" s="10" t="str">
        <x:v>https://www.gemeinschaftsmarketing-bw.de/</x:v>
      </x:c>
      <x:c r="H120" s="10" t="e">
        <x:f>HYPERLINK("https://www.gemeinschaftsmarketing-bw.de/","Quelle öffnen")</x:f>
        <x:v>HYPERLINK is not implemented. linkLocation=https://www.gemeinschaftsmarketing-bw.de/, friendlyName=Quelle öffnen</x:v>
      </x:c>
    </x:row>
    <x:row r="121" ht="64.80000305175781" hidden="0" customHeight="1">
      <x:c r="A121" s="10" t="str">
        <x:v>LINK-0120</x:v>
      </x:c>
      <x:c r="B121" s="10" t="n">
        <x:v>36</x:v>
      </x:c>
      <x:c r="C121" s="10" t="str">
        <x:v>QZBW-/BIOZBW-Einzelzertifizierung (EZ)</x:v>
      </x:c>
      <x:c r="D121" s="10" t="str">
        <x:v>EZ-Lizenzunterlagen</x:v>
      </x:c>
      <x:c r="E121" s="10" t="str">
        <x:v>Grundlagendokument</x:v>
      </x:c>
      <x:c r="F121" s="10" t="str">
        <x:v>Biozeichen Baden-Württemberg</x:v>
      </x:c>
      <x:c r="G121" s="10" t="str">
        <x:v>https://www.bio-aus-bw.de/</x:v>
      </x:c>
      <x:c r="H121" s="10" t="e">
        <x:f>HYPERLINK("https://www.bio-aus-bw.de/","Quelle öffnen")</x:f>
        <x:v>HYPERLINK is not implemented. linkLocation=https://www.bio-aus-bw.de/, friendlyName=Quelle öffnen</x:v>
      </x:c>
    </x:row>
    <x:row r="122" ht="86.4000015258789" hidden="0" customHeight="1">
      <x:c r="A122" s="10" t="str">
        <x:v>LINK-0121</x:v>
      </x:c>
      <x:c r="B122" s="10" t="n">
        <x:v>36</x:v>
      </x:c>
      <x:c r="C122" s="10" t="str">
        <x:v>QZBW-/BIOZBW-Einzelzertifizierung (EZ)</x:v>
      </x:c>
      <x:c r="D122" s="10" t="str">
        <x:v>EZ-Lizenzunterlagen</x:v>
      </x:c>
      <x:c r="E122" s="10" t="str">
        <x:v>Grundlagendokument</x:v>
      </x:c>
      <x:c r="F122" s="10" t="str">
        <x:v>Mitteilung der Kommission - EU-Leitlinien für eine gute Praxis bei freiwilligen Zertifizierungssystemen für landwirtschaftliche Erzeugnisse und Lebensmittel</x:v>
      </x:c>
      <x:c r="G122" s="10" t="str">
        <x:v>https://eur-lex.europa.eu/legal-content/DE/TXT/?uri=CELEX:52010XC1216(02)</x:v>
      </x:c>
      <x:c r="H122" s="10" t="e">
        <x:f>HYPERLINK("https://eur-lex.europa.eu/legal-content/DE/TXT/?uri=CELEX:52010XC1216(02)","Quelle öffnen")</x:f>
        <x:v>HYPERLINK is not implemented. linkLocation=https://eur-lex.europa.eu/legal-content/DE/TXT/?uri=CELEX:52010XC1216(02), friendlyName=Quelle öffnen</x:v>
      </x:c>
    </x:row>
    <x:row r="123" ht="75.5999984741211" hidden="0" customHeight="1">
      <x:c r="A123" s="10" t="str">
        <x:v>LINK-0122</x:v>
      </x:c>
      <x:c r="B123" s="10" t="n">
        <x:v>36</x:v>
      </x:c>
      <x:c r="C123" s="10" t="str">
        <x:v>QZBW-/BIOZBW-Einzelzertifizierung (EZ)</x:v>
      </x:c>
      <x:c r="D123" s="10" t="str">
        <x:v>EZ-Lizenzunterlagen</x:v>
      </x:c>
      <x:c r="E123" s="10" t="str">
        <x:v>Übermittlungsart</x:v>
      </x:c>
      <x:c r="F123" s="10" t="str">
        <x:v>Online-Angebot</x:v>
      </x:c>
      <x:c r="G123" s="10" t="str">
        <x:v>https://www.gemeinschaftsmarketing-bw.de/</x:v>
      </x:c>
      <x:c r="H123" s="10" t="e">
        <x:f>HYPERLINK("https://www.gemeinschaftsmarketing-bw.de/","Quelle öffnen")</x:f>
        <x:v>HYPERLINK is not implemented. linkLocation=https://www.gemeinschaftsmarketing-bw.de/, friendlyName=Quelle öffnen</x:v>
      </x:c>
    </x:row>
    <x:row r="124" ht="64.80000305175781" hidden="0" customHeight="1">
      <x:c r="A124" s="10" t="str">
        <x:v>LINK-0123</x:v>
      </x:c>
      <x:c r="B124" s="10" t="n">
        <x:v>36</x:v>
      </x:c>
      <x:c r="C124" s="10" t="str">
        <x:v>QZBW-/BIOZBW-Einzelzertifizierung (EZ)</x:v>
      </x:c>
      <x:c r="D124" s="10" t="str">
        <x:v>EZ-Lizenzunterlagen</x:v>
      </x:c>
      <x:c r="E124" s="10" t="str">
        <x:v>Übermittlungsart</x:v>
      </x:c>
      <x:c r="F124" s="10" t="str">
        <x:v>Online-Angebot</x:v>
      </x:c>
      <x:c r="G124" s="10" t="str">
        <x:v>https://www.bio-aus-bw.de/</x:v>
      </x:c>
      <x:c r="H124" s="10" t="e">
        <x:f>HYPERLINK("https://www.bio-aus-bw.de/","Quelle öffnen")</x:f>
        <x:v>HYPERLINK is not implemented. linkLocation=https://www.bio-aus-bw.de/, friendlyName=Quelle öffnen</x:v>
      </x:c>
    </x:row>
    <x:row r="125" ht="75.5999984741211" hidden="0" customHeight="1">
      <x:c r="A125" s="10" t="str">
        <x:v>LINK-0124</x:v>
      </x:c>
      <x:c r="B125" s="10" t="n">
        <x:v>37</x:v>
      </x:c>
      <x:c r="C125" s="10" t="str">
        <x:v>QZBW-/BIOZBW-Einzelzertifizierung (EZ)</x:v>
      </x:c>
      <x:c r="D125" s="10" t="str">
        <x:v>EZ-Zertifikatsdaten</x:v>
      </x:c>
      <x:c r="E125" s="10" t="str">
        <x:v>Grundlagendokument</x:v>
      </x:c>
      <x:c r="F125" s="10" t="str">
        <x:v>Qualitätszeichen Baden-Württemberg</x:v>
      </x:c>
      <x:c r="G125" s="10" t="str">
        <x:v>https://www.gemeinschaftsmarketing-bw.de/</x:v>
      </x:c>
      <x:c r="H125" s="10" t="e">
        <x:f>HYPERLINK("https://www.gemeinschaftsmarketing-bw.de/","Quelle öffnen")</x:f>
        <x:v>HYPERLINK is not implemented. linkLocation=https://www.gemeinschaftsmarketing-bw.de/, friendlyName=Quelle öffnen</x:v>
      </x:c>
    </x:row>
    <x:row r="126" ht="64.80000305175781" hidden="0" customHeight="1">
      <x:c r="A126" s="10" t="str">
        <x:v>LINK-0125</x:v>
      </x:c>
      <x:c r="B126" s="10" t="n">
        <x:v>37</x:v>
      </x:c>
      <x:c r="C126" s="10" t="str">
        <x:v>QZBW-/BIOZBW-Einzelzertifizierung (EZ)</x:v>
      </x:c>
      <x:c r="D126" s="10" t="str">
        <x:v>EZ-Zertifikatsdaten</x:v>
      </x:c>
      <x:c r="E126" s="10" t="str">
        <x:v>Grundlagendokument</x:v>
      </x:c>
      <x:c r="F126" s="10" t="str">
        <x:v>Biozeichen Baden-Württemberg</x:v>
      </x:c>
      <x:c r="G126" s="10" t="str">
        <x:v>https://www.bio-aus-bw.de/</x:v>
      </x:c>
      <x:c r="H126" s="10" t="e">
        <x:f>HYPERLINK("https://www.bio-aus-bw.de/","Quelle öffnen")</x:f>
        <x:v>HYPERLINK is not implemented. linkLocation=https://www.bio-aus-bw.de/, friendlyName=Quelle öffnen</x:v>
      </x:c>
    </x:row>
    <x:row r="127" ht="86.4000015258789" hidden="0" customHeight="1">
      <x:c r="A127" s="10" t="str">
        <x:v>LINK-0126</x:v>
      </x:c>
      <x:c r="B127" s="10" t="n">
        <x:v>37</x:v>
      </x:c>
      <x:c r="C127" s="10" t="str">
        <x:v>QZBW-/BIOZBW-Einzelzertifizierung (EZ)</x:v>
      </x:c>
      <x:c r="D127" s="10" t="str">
        <x:v>EZ-Zertifikatsdaten</x:v>
      </x:c>
      <x:c r="E127" s="10" t="str">
        <x:v>Grundlagendokument</x:v>
      </x:c>
      <x:c r="F127" s="10" t="str">
        <x:v>Mitteilung der Kommission - EU-Leitlinien für eine gute Praxis bei freiwilligen Zertifizierungssystemen für landwirtschaftliche Erzeugnisse und Lebensmittel</x:v>
      </x:c>
      <x:c r="G127" s="10" t="str">
        <x:v>https://eur-lex.europa.eu/legal-content/DE/TXT/?uri=CELEX:52010XC1216(02)</x:v>
      </x:c>
      <x:c r="H127" s="10" t="e">
        <x:f>HYPERLINK("https://eur-lex.europa.eu/legal-content/DE/TXT/?uri=CELEX:52010XC1216(02)","Quelle öffnen")</x:f>
        <x:v>HYPERLINK is not implemented. linkLocation=https://eur-lex.europa.eu/legal-content/DE/TXT/?uri=CELEX:52010XC1216(02), friendlyName=Quelle öffnen</x:v>
      </x:c>
    </x:row>
    <x:row r="128" ht="75.5999984741211" hidden="0" customHeight="1">
      <x:c r="A128" s="10" t="str">
        <x:v>LINK-0127</x:v>
      </x:c>
      <x:c r="B128" s="10" t="n">
        <x:v>37</x:v>
      </x:c>
      <x:c r="C128" s="10" t="str">
        <x:v>QZBW-/BIOZBW-Einzelzertifizierung (EZ)</x:v>
      </x:c>
      <x:c r="D128" s="10" t="str">
        <x:v>EZ-Zertifikatsdaten</x:v>
      </x:c>
      <x:c r="E128" s="10" t="str">
        <x:v>Übermittlungsart</x:v>
      </x:c>
      <x:c r="F128" s="10" t="str">
        <x:v>Online-Angebot</x:v>
      </x:c>
      <x:c r="G128" s="10" t="str">
        <x:v>https://www.gemeinschaftsmarketing-bw.de/</x:v>
      </x:c>
      <x:c r="H128" s="10" t="e">
        <x:f>HYPERLINK("https://www.gemeinschaftsmarketing-bw.de/","Quelle öffnen")</x:f>
        <x:v>HYPERLINK is not implemented. linkLocation=https://www.gemeinschaftsmarketing-bw.de/, friendlyName=Quelle öffnen</x:v>
      </x:c>
    </x:row>
    <x:row r="129" ht="64.80000305175781" hidden="0" customHeight="1">
      <x:c r="A129" s="10" t="str">
        <x:v>LINK-0128</x:v>
      </x:c>
      <x:c r="B129" s="10" t="n">
        <x:v>37</x:v>
      </x:c>
      <x:c r="C129" s="10" t="str">
        <x:v>QZBW-/BIOZBW-Einzelzertifizierung (EZ)</x:v>
      </x:c>
      <x:c r="D129" s="10" t="str">
        <x:v>EZ-Zertifikatsdaten</x:v>
      </x:c>
      <x:c r="E129" s="10" t="str">
        <x:v>Übermittlungsart</x:v>
      </x:c>
      <x:c r="F129" s="10" t="str">
        <x:v>Online-Angebot</x:v>
      </x:c>
      <x:c r="G129" s="10" t="str">
        <x:v>https://www.bio-aus-bw.de/</x:v>
      </x:c>
      <x:c r="H129" s="10" t="e">
        <x:f>HYPERLINK("https://www.bio-aus-bw.de/","Quelle öffnen")</x:f>
        <x:v>HYPERLINK is not implemented. linkLocation=https://www.bio-aus-bw.de/, friendlyName=Quelle öffnen</x:v>
      </x:c>
    </x:row>
    <x:row r="130" ht="64.80000305175781" hidden="0" customHeight="1">
      <x:c r="A130" s="10" t="str">
        <x:v>LINK-0129</x:v>
      </x:c>
      <x:c r="B130" s="10" t="n">
        <x:v>38</x:v>
      </x:c>
      <x:c r="C130" s="10" t="str">
        <x:v>QZBW-/BIOZBW-Gruppenzertifizierung (GZ) und Qualitätsmanagementsystem (QMS)</x:v>
      </x:c>
      <x:c r="D130" s="10" t="str">
        <x:v>Zeichennutzungsvertrag der Erzeugergruppe</x:v>
      </x:c>
      <x:c r="E130" s="10" t="str">
        <x:v>Grundlagendokument</x:v>
      </x:c>
      <x:c r="F130" s="10" t="str">
        <x:v>QZBW – Anforderungen an Erzeugergruppen, Stand 01.01.2023</x:v>
      </x:c>
      <x:c r="G130" s="10" t="str">
        <x:v>https://mbw.imageplant.de/</x:v>
      </x:c>
      <x:c r="H130" s="10" t="e">
        <x:f>HYPERLINK("https://mbw.imageplant.de/","Quelle öffnen")</x:f>
        <x:v>HYPERLINK is not implemented. linkLocation=https://mbw.imageplant.de/, friendlyName=Quelle öffnen</x:v>
      </x:c>
    </x:row>
    <x:row r="131" ht="64.80000305175781" hidden="0" customHeight="1">
      <x:c r="A131" s="10" t="str">
        <x:v>LINK-0130</x:v>
      </x:c>
      <x:c r="B131" s="10" t="n">
        <x:v>38</x:v>
      </x:c>
      <x:c r="C131" s="10" t="str">
        <x:v>QZBW-/BIOZBW-Gruppenzertifizierung (GZ) und Qualitätsmanagementsystem (QMS)</x:v>
      </x:c>
      <x:c r="D131" s="10" t="str">
        <x:v>Zeichennutzungsvertrag der Erzeugergruppe</x:v>
      </x:c>
      <x:c r="E131" s="10" t="str">
        <x:v>Grundlagendokument</x:v>
      </x:c>
      <x:c r="F131" s="10" t="str">
        <x:v>QZBW – Teilnahmevereinbarung Gruppenzertifizierung, Stand 2023</x:v>
      </x:c>
      <x:c r="G131" s="10" t="str">
        <x:v>https://mbw.imageplant.de/</x:v>
      </x:c>
      <x:c r="H131" s="10" t="e">
        <x:f>HYPERLINK("https://mbw.imageplant.de/","Quelle öffnen")</x:f>
        <x:v>HYPERLINK is not implemented. linkLocation=https://mbw.imageplant.de/, friendlyName=Quelle öffnen</x:v>
      </x:c>
    </x:row>
    <x:row r="132" ht="64.80000305175781" hidden="0" customHeight="1">
      <x:c r="A132" s="10" t="str">
        <x:v>LINK-0131</x:v>
      </x:c>
      <x:c r="B132" s="10" t="n">
        <x:v>38</x:v>
      </x:c>
      <x:c r="C132" s="10" t="str">
        <x:v>QZBW-/BIOZBW-Gruppenzertifizierung (GZ) und Qualitätsmanagementsystem (QMS)</x:v>
      </x:c>
      <x:c r="D132" s="10" t="str">
        <x:v>Zeichennutzungsvertrag der Erzeugergruppe</x:v>
      </x:c>
      <x:c r="E132" s="10" t="str">
        <x:v>Grundlagendokument</x:v>
      </x:c>
      <x:c r="F132" s="10" t="str">
        <x:v>BIOZBW – Programmbestimmungen, Stand 01.01.2026</x:v>
      </x:c>
      <x:c r="G132" s="10" t="str">
        <x:v>https://mbw.imageplant.de/</x:v>
      </x:c>
      <x:c r="H132" s="10" t="e">
        <x:f>HYPERLINK("https://mbw.imageplant.de/","Quelle öffnen")</x:f>
        <x:v>HYPERLINK is not implemented. linkLocation=https://mbw.imageplant.de/, friendlyName=Quelle öffnen</x:v>
      </x:c>
    </x:row>
    <x:row r="133" ht="75.5999984741211" hidden="0" customHeight="1">
      <x:c r="A133" s="10" t="str">
        <x:v>LINK-0132</x:v>
      </x:c>
      <x:c r="B133" s="10" t="n">
        <x:v>38</x:v>
      </x:c>
      <x:c r="C133" s="10" t="str">
        <x:v>QZBW-/BIOZBW-Gruppenzertifizierung (GZ) und Qualitätsmanagementsystem (QMS)</x:v>
      </x:c>
      <x:c r="D133" s="10" t="str">
        <x:v>Zeichennutzungsvertrag der Erzeugergruppe</x:v>
      </x:c>
      <x:c r="E133" s="10" t="str">
        <x:v>Grundlagendokument</x:v>
      </x:c>
      <x:c r="F133" s="10" t="str">
        <x:v>Verordnung (EU) 2018/848</x:v>
      </x:c>
      <x:c r="G133" s="10" t="str">
        <x:v>https://eur-lex.europa.eu/eli/reg/2018/848/oj?locale=de</x:v>
      </x:c>
      <x:c r="H133" s="10" t="e">
        <x:f>HYPERLINK("https://eur-lex.europa.eu/eli/reg/2018/848/oj?locale=de","Quelle öffnen")</x:f>
        <x:v>HYPERLINK is not implemented. linkLocation=https://eur-lex.europa.eu/eli/reg/2018/848/oj?locale=de, friendlyName=Quelle öffnen</x:v>
      </x:c>
    </x:row>
    <x:row r="134" ht="86.4000015258789" hidden="0" customHeight="1">
      <x:c r="A134" s="10" t="str">
        <x:v>LINK-0133</x:v>
      </x:c>
      <x:c r="B134" s="10" t="n">
        <x:v>38</x:v>
      </x:c>
      <x:c r="C134" s="10" t="str">
        <x:v>QZBW-/BIOZBW-Gruppenzertifizierung (GZ) und Qualitätsmanagementsystem (QMS)</x:v>
      </x:c>
      <x:c r="D134" s="10" t="str">
        <x:v>Zeichennutzungsvertrag der Erzeugergruppe</x:v>
      </x:c>
      <x:c r="E134" s="10" t="str">
        <x:v>Grundlagendokument</x:v>
      </x:c>
      <x:c r="F134" s="10" t="str">
        <x:v>Delegierte Verordnung (EU) 2021/715</x:v>
      </x:c>
      <x:c r="G134" s="10" t="str">
        <x:v>https://eur-lex.europa.eu/legal-content/DE/ALL/?uri=CELEX:32021R0715</x:v>
      </x:c>
      <x:c r="H134" s="10" t="e">
        <x:f>HYPERLINK("https://eur-lex.europa.eu/legal-content/DE/ALL/?uri=CELEX:32021R0715","Quelle öffnen")</x:f>
        <x:v>HYPERLINK is not implemented. linkLocation=https://eur-lex.europa.eu/legal-content/DE/ALL/?uri=CELEX:32021R0715, friendlyName=Quelle öffnen</x:v>
      </x:c>
    </x:row>
    <x:row r="135" ht="86.4000015258789" hidden="0" customHeight="1">
      <x:c r="A135" s="10" t="str">
        <x:v>LINK-0134</x:v>
      </x:c>
      <x:c r="B135" s="10" t="n">
        <x:v>38</x:v>
      </x:c>
      <x:c r="C135" s="10" t="str">
        <x:v>QZBW-/BIOZBW-Gruppenzertifizierung (GZ) und Qualitätsmanagementsystem (QMS)</x:v>
      </x:c>
      <x:c r="D135" s="10" t="str">
        <x:v>Zeichennutzungsvertrag der Erzeugergruppe</x:v>
      </x:c>
      <x:c r="E135" s="10" t="str">
        <x:v>Grundlagendokument</x:v>
      </x:c>
      <x:c r="F135" s="10" t="str">
        <x:v>Durchführungsverordnung (EU) 2021/279</x:v>
      </x:c>
      <x:c r="G135" s="10" t="str">
        <x:v>https://eur-lex.europa.eu/legal-content/DE/ALL/?uri=CELEX:32021R0279</x:v>
      </x:c>
      <x:c r="H135" s="10" t="e">
        <x:f>HYPERLINK("https://eur-lex.europa.eu/legal-content/DE/ALL/?uri=CELEX:32021R0279","Quelle öffnen")</x:f>
        <x:v>HYPERLINK is not implemented. linkLocation=https://eur-lex.europa.eu/legal-content/DE/ALL/?uri=CELEX:32021R0279, friendlyName=Quelle öffnen</x:v>
      </x:c>
    </x:row>
    <x:row r="136" ht="64.80000305175781" hidden="0" customHeight="1">
      <x:c r="A136" s="10" t="str">
        <x:v>LINK-0135</x:v>
      </x:c>
      <x:c r="B136" s="10" t="n">
        <x:v>38</x:v>
      </x:c>
      <x:c r="C136" s="10" t="str">
        <x:v>QZBW-/BIOZBW-Gruppenzertifizierung (GZ) und Qualitätsmanagementsystem (QMS)</x:v>
      </x:c>
      <x:c r="D136" s="10" t="str">
        <x:v>Zeichennutzungsvertrag der Erzeugergruppe</x:v>
      </x:c>
      <x:c r="E136" s="10" t="str">
        <x:v>Übermittlungsart</x:v>
      </x:c>
      <x:c r="F136" s="10" t="str">
        <x:v>MBW-Portal</x:v>
      </x:c>
      <x:c r="G136" s="10" t="str">
        <x:v>https://mbw.imageplant.de/</x:v>
      </x:c>
      <x:c r="H136" s="10" t="e">
        <x:f>HYPERLINK("https://mbw.imageplant.de/","Quelle öffnen")</x:f>
        <x:v>HYPERLINK is not implemented. linkLocation=https://mbw.imageplant.de/, friendlyName=Quelle öffnen</x:v>
      </x:c>
    </x:row>
    <x:row r="137" ht="64.80000305175781" hidden="0" customHeight="1">
      <x:c r="A137" s="10" t="str">
        <x:v>LINK-0136</x:v>
      </x:c>
      <x:c r="B137" s="10" t="n">
        <x:v>38</x:v>
      </x:c>
      <x:c r="C137" s="10" t="str">
        <x:v>QZBW-/BIOZBW-Gruppenzertifizierung (GZ) und Qualitätsmanagementsystem (QMS)</x:v>
      </x:c>
      <x:c r="D137" s="10" t="str">
        <x:v>Zeichennutzungsvertrag der Erzeugergruppe</x:v>
      </x:c>
      <x:c r="E137" s="10" t="str">
        <x:v>Übermittlungsart</x:v>
      </x:c>
      <x:c r="F137" s="10" t="str">
        <x:v>MBW-Portal</x:v>
      </x:c>
      <x:c r="G137" s="10" t="str">
        <x:v>https://mbw.imageplant.de/</x:v>
      </x:c>
      <x:c r="H137" s="10" t="e">
        <x:f>HYPERLINK("https://mbw.imageplant.de/","Quelle öffnen")</x:f>
        <x:v>HYPERLINK is not implemented. linkLocation=https://mbw.imageplant.de/, friendlyName=Quelle öffnen</x:v>
      </x:c>
    </x:row>
    <x:row r="138" ht="64.80000305175781" hidden="0" customHeight="1">
      <x:c r="A138" s="10" t="str">
        <x:v>LINK-0137</x:v>
      </x:c>
      <x:c r="B138" s="10" t="n">
        <x:v>39</x:v>
      </x:c>
      <x:c r="C138" s="10" t="str">
        <x:v>QZBW-/BIOZBW-Gruppenzertifizierung (GZ) und Qualitätsmanagementsystem (QMS)</x:v>
      </x:c>
      <x:c r="D138" s="10" t="str">
        <x:v>Programmmeldung durch Lizenznehmer</x:v>
      </x:c>
      <x:c r="E138" s="10" t="str">
        <x:v>Grundlagendokument</x:v>
      </x:c>
      <x:c r="F138" s="10" t="str">
        <x:v>BIOZBW – Programmbestimmungen, Stand 01.01.2026</x:v>
      </x:c>
      <x:c r="G138" s="10" t="str">
        <x:v>https://mbw.imageplant.de/</x:v>
      </x:c>
      <x:c r="H138" s="10" t="e">
        <x:f>HYPERLINK("https://mbw.imageplant.de/","Quelle öffnen")</x:f>
        <x:v>HYPERLINK is not implemented. linkLocation=https://mbw.imageplant.de/, friendlyName=Quelle öffnen</x:v>
      </x:c>
    </x:row>
    <x:row r="139" ht="64.80000305175781" hidden="0" customHeight="1">
      <x:c r="A139" s="10" t="str">
        <x:v>LINK-0138</x:v>
      </x:c>
      <x:c r="B139" s="10" t="n">
        <x:v>39</x:v>
      </x:c>
      <x:c r="C139" s="10" t="str">
        <x:v>QZBW-/BIOZBW-Gruppenzertifizierung (GZ) und Qualitätsmanagementsystem (QMS)</x:v>
      </x:c>
      <x:c r="D139" s="10" t="str">
        <x:v>Programmmeldung durch Lizenznehmer</x:v>
      </x:c>
      <x:c r="E139" s="10" t="str">
        <x:v>Übermittlungsart</x:v>
      </x:c>
      <x:c r="F139" s="10" t="str">
        <x:v>MBW-Portal</x:v>
      </x:c>
      <x:c r="G139" s="10" t="str">
        <x:v>https://mbw.imageplant.de/</x:v>
      </x:c>
      <x:c r="H139" s="10" t="e">
        <x:f>HYPERLINK("https://mbw.imageplant.de/","Quelle öffnen")</x:f>
        <x:v>HYPERLINK is not implemented. linkLocation=https://mbw.imageplant.de/, friendlyName=Quelle öffnen</x:v>
      </x:c>
    </x:row>
    <x:row r="140" ht="75.5999984741211" hidden="0" customHeight="1">
      <x:c r="A140" s="10" t="str">
        <x:v>LINK-0139</x:v>
      </x:c>
      <x:c r="B140" s="10" t="n">
        <x:v>40</x:v>
      </x:c>
      <x:c r="C140" s="10" t="str">
        <x:v>QZBW-/BIOZBW-Zeichennutzung</x:v>
      </x:c>
      <x:c r="D140" s="10" t="str">
        <x:v>Zeichennutzungsunterlagen</x:v>
      </x:c>
      <x:c r="E140" s="10" t="str">
        <x:v>Grundlagendokument</x:v>
      </x:c>
      <x:c r="F140" s="10" t="str">
        <x:v>Qualitätszeichen Baden-Württemberg</x:v>
      </x:c>
      <x:c r="G140" s="10" t="str">
        <x:v>https://www.gemeinschaftsmarketing-bw.de/</x:v>
      </x:c>
      <x:c r="H140" s="10" t="e">
        <x:f>HYPERLINK("https://www.gemeinschaftsmarketing-bw.de/","Quelle öffnen")</x:f>
        <x:v>HYPERLINK is not implemented. linkLocation=https://www.gemeinschaftsmarketing-bw.de/, friendlyName=Quelle öffnen</x:v>
      </x:c>
    </x:row>
    <x:row r="141" ht="64.80000305175781" hidden="0" customHeight="1">
      <x:c r="A141" s="10" t="str">
        <x:v>LINK-0140</x:v>
      </x:c>
      <x:c r="B141" s="10" t="n">
        <x:v>40</x:v>
      </x:c>
      <x:c r="C141" s="10" t="str">
        <x:v>QZBW-/BIOZBW-Zeichennutzung</x:v>
      </x:c>
      <x:c r="D141" s="10" t="str">
        <x:v>Zeichennutzungsunterlagen</x:v>
      </x:c>
      <x:c r="E141" s="10" t="str">
        <x:v>Grundlagendokument</x:v>
      </x:c>
      <x:c r="F141" s="10" t="str">
        <x:v>Biozeichen Baden-Württemberg</x:v>
      </x:c>
      <x:c r="G141" s="10" t="str">
        <x:v>https://www.bio-aus-bw.de/</x:v>
      </x:c>
      <x:c r="H141" s="10" t="e">
        <x:f>HYPERLINK("https://www.bio-aus-bw.de/","Quelle öffnen")</x:f>
        <x:v>HYPERLINK is not implemented. linkLocation=https://www.bio-aus-bw.de/, friendlyName=Quelle öffnen</x:v>
      </x:c>
    </x:row>
    <x:row r="142" ht="86.4000015258789" hidden="0" customHeight="1">
      <x:c r="A142" s="10" t="str">
        <x:v>LINK-0141</x:v>
      </x:c>
      <x:c r="B142" s="10" t="n">
        <x:v>40</x:v>
      </x:c>
      <x:c r="C142" s="10" t="str">
        <x:v>QZBW-/BIOZBW-Zeichennutzung</x:v>
      </x:c>
      <x:c r="D142" s="10" t="str">
        <x:v>Zeichennutzungsunterlagen</x:v>
      </x:c>
      <x:c r="E142" s="10" t="str">
        <x:v>Grundlagendokument</x:v>
      </x:c>
      <x:c r="F142" s="10" t="str">
        <x:v>Mitteilung der Kommission - EU-Leitlinien für eine gute Praxis bei freiwilligen Zertifizierungssystemen für landwirtschaftliche Erzeugnisse und Lebensmittel</x:v>
      </x:c>
      <x:c r="G142" s="10" t="str">
        <x:v>https://eur-lex.europa.eu/legal-content/DE/TXT/?uri=CELEX:52010XC1216(02)</x:v>
      </x:c>
      <x:c r="H142" s="10" t="e">
        <x:f>HYPERLINK("https://eur-lex.europa.eu/legal-content/DE/TXT/?uri=CELEX:52010XC1216(02)","Quelle öffnen")</x:f>
        <x:v>HYPERLINK is not implemented. linkLocation=https://eur-lex.europa.eu/legal-content/DE/TXT/?uri=CELEX:52010XC1216(02), friendlyName=Quelle öffnen</x:v>
      </x:c>
    </x:row>
    <x:row r="143" ht="75.5999984741211" hidden="0" customHeight="1">
      <x:c r="A143" s="10" t="str">
        <x:v>LINK-0142</x:v>
      </x:c>
      <x:c r="B143" s="10" t="n">
        <x:v>40</x:v>
      </x:c>
      <x:c r="C143" s="10" t="str">
        <x:v>QZBW-/BIOZBW-Zeichennutzung</x:v>
      </x:c>
      <x:c r="D143" s="10" t="str">
        <x:v>Zeichennutzungsunterlagen</x:v>
      </x:c>
      <x:c r="E143" s="10" t="str">
        <x:v>Übermittlungsart</x:v>
      </x:c>
      <x:c r="F143" s="10" t="str">
        <x:v>Online-Angebot</x:v>
      </x:c>
      <x:c r="G143" s="10" t="str">
        <x:v>https://www.gemeinschaftsmarketing-bw.de/</x:v>
      </x:c>
      <x:c r="H143" s="10" t="e">
        <x:f>HYPERLINK("https://www.gemeinschaftsmarketing-bw.de/","Quelle öffnen")</x:f>
        <x:v>HYPERLINK is not implemented. linkLocation=https://www.gemeinschaftsmarketing-bw.de/, friendlyName=Quelle öffnen</x:v>
      </x:c>
    </x:row>
    <x:row r="144" ht="64.80000305175781" hidden="0" customHeight="1">
      <x:c r="A144" s="10" t="str">
        <x:v>LINK-0143</x:v>
      </x:c>
      <x:c r="B144" s="10" t="n">
        <x:v>40</x:v>
      </x:c>
      <x:c r="C144" s="10" t="str">
        <x:v>QZBW-/BIOZBW-Zeichennutzung</x:v>
      </x:c>
      <x:c r="D144" s="10" t="str">
        <x:v>Zeichennutzungsunterlagen</x:v>
      </x:c>
      <x:c r="E144" s="10" t="str">
        <x:v>Übermittlungsart</x:v>
      </x:c>
      <x:c r="F144" s="10" t="str">
        <x:v>Online-Angebot</x:v>
      </x:c>
      <x:c r="G144" s="10" t="str">
        <x:v>https://www.bio-aus-bw.de/</x:v>
      </x:c>
      <x:c r="H144" s="10" t="e">
        <x:f>HYPERLINK("https://www.bio-aus-bw.de/","Quelle öffnen")</x:f>
        <x:v>HYPERLINK is not implemented. linkLocation=https://www.bio-aus-bw.de/, friendlyName=Quelle öffnen</x:v>
      </x:c>
    </x:row>
    <x:row r="145" ht="64.80000305175781" hidden="0" customHeight="1">
      <x:c r="A145" s="10" t="str">
        <x:v>LINK-0144</x:v>
      </x:c>
      <x:c r="B145" s="10" t="n">
        <x:v>41</x:v>
      </x:c>
      <x:c r="C145" s="10" t="str">
        <x:v>QZBW-/BIOZBW-Zeichennutzung</x:v>
      </x:c>
      <x:c r="D145" s="10" t="str">
        <x:v>Zeichennutzungskontrolle</x:v>
      </x:c>
      <x:c r="E145" s="10" t="str">
        <x:v>Grundlagendokument</x:v>
      </x:c>
      <x:c r="F145" s="10" t="str">
        <x:v>BIOZBW – Programmbestimmungen, Stand 01.01.2026</x:v>
      </x:c>
      <x:c r="G145" s="10" t="str">
        <x:v>https://mbw.imageplant.de/</x:v>
      </x:c>
      <x:c r="H145" s="10" t="e">
        <x:f>HYPERLINK("https://mbw.imageplant.de/","Quelle öffnen")</x:f>
        <x:v>HYPERLINK is not implemented. linkLocation=https://mbw.imageplant.de/, friendlyName=Quelle öffnen</x:v>
      </x:c>
    </x:row>
    <x:row r="146" ht="64.80000305175781" hidden="0" customHeight="1">
      <x:c r="A146" s="10" t="str">
        <x:v>LINK-0145</x:v>
      </x:c>
      <x:c r="B146" s="10" t="n">
        <x:v>41</x:v>
      </x:c>
      <x:c r="C146" s="10" t="str">
        <x:v>QZBW-/BIOZBW-Zeichennutzung</x:v>
      </x:c>
      <x:c r="D146" s="10" t="str">
        <x:v>Zeichennutzungskontrolle</x:v>
      </x:c>
      <x:c r="E146" s="10" t="str">
        <x:v>Übermittlungsart</x:v>
      </x:c>
      <x:c r="F146" s="10" t="str">
        <x:v>MBW-Portal</x:v>
      </x:c>
      <x:c r="G146" s="10" t="str">
        <x:v>https://mbw.imageplant.de/</x:v>
      </x:c>
      <x:c r="H146" s="10" t="e">
        <x:f>HYPERLINK("https://mbw.imageplant.de/","Quelle öffnen")</x:f>
        <x:v>HYPERLINK is not implemented. linkLocation=https://mbw.imageplant.de/, friendlyName=Quelle öffnen</x:v>
      </x:c>
    </x:row>
    <x:row r="147" ht="64.80000305175781" hidden="0" customHeight="1">
      <x:c r="A147" s="10" t="str">
        <x:v>LINK-0146</x:v>
      </x:c>
      <x:c r="B147" s="10" t="n">
        <x:v>42</x:v>
      </x:c>
      <x:c r="C147" s="10" t="str">
        <x:v>QZBW-/BIOZBW-Gruppenzertifizierung (GZ) und Qualitätsmanagementsystem (QMS)</x:v>
      </x:c>
      <x:c r="D147" s="10" t="str">
        <x:v>Betriebsnachweis- und Korrekturdaten</x:v>
      </x:c>
      <x:c r="E147" s="10" t="str">
        <x:v>Grundlagendokument</x:v>
      </x:c>
      <x:c r="F147" s="10" t="str">
        <x:v>QZBW – Anforderungen an Erzeugergruppen, Stand 01.01.2023</x:v>
      </x:c>
      <x:c r="G147" s="10" t="str">
        <x:v>https://mbw.imageplant.de/</x:v>
      </x:c>
      <x:c r="H147" s="10" t="e">
        <x:f>HYPERLINK("https://mbw.imageplant.de/","Quelle öffnen")</x:f>
        <x:v>HYPERLINK is not implemented. linkLocation=https://mbw.imageplant.de/, friendlyName=Quelle öffnen</x:v>
      </x:c>
    </x:row>
    <x:row r="148" ht="64.80000305175781" hidden="0" customHeight="1">
      <x:c r="A148" s="10" t="str">
        <x:v>LINK-0147</x:v>
      </x:c>
      <x:c r="B148" s="10" t="n">
        <x:v>42</x:v>
      </x:c>
      <x:c r="C148" s="10" t="str">
        <x:v>QZBW-/BIOZBW-Gruppenzertifizierung (GZ) und Qualitätsmanagementsystem (QMS)</x:v>
      </x:c>
      <x:c r="D148" s="10" t="str">
        <x:v>Betriebsnachweis- und Korrekturdaten</x:v>
      </x:c>
      <x:c r="E148" s="10" t="str">
        <x:v>Grundlagendokument</x:v>
      </x:c>
      <x:c r="F148" s="10" t="str">
        <x:v>QZBW – Teilnahmevereinbarung Gruppenzertifizierung, Stand 2023</x:v>
      </x:c>
      <x:c r="G148" s="10" t="str">
        <x:v>https://mbw.imageplant.de/</x:v>
      </x:c>
      <x:c r="H148" s="10" t="e">
        <x:f>HYPERLINK("https://mbw.imageplant.de/","Quelle öffnen")</x:f>
        <x:v>HYPERLINK is not implemented. linkLocation=https://mbw.imageplant.de/, friendlyName=Quelle öffnen</x:v>
      </x:c>
    </x:row>
    <x:row r="149" ht="64.80000305175781" hidden="0" customHeight="1">
      <x:c r="A149" s="10" t="str">
        <x:v>LINK-0148</x:v>
      </x:c>
      <x:c r="B149" s="10" t="n">
        <x:v>42</x:v>
      </x:c>
      <x:c r="C149" s="10" t="str">
        <x:v>QZBW-/BIOZBW-Gruppenzertifizierung (GZ) und Qualitätsmanagementsystem (QMS)</x:v>
      </x:c>
      <x:c r="D149" s="10" t="str">
        <x:v>Betriebsnachweis- und Korrekturdaten</x:v>
      </x:c>
      <x:c r="E149" s="10" t="str">
        <x:v>Grundlagendokument</x:v>
      </x:c>
      <x:c r="F149" s="10" t="str">
        <x:v>BIOZBW – Programmbestimmungen, Stand 01.01.2026</x:v>
      </x:c>
      <x:c r="G149" s="10" t="str">
        <x:v>https://mbw.imageplant.de/</x:v>
      </x:c>
      <x:c r="H149" s="10" t="e">
        <x:f>HYPERLINK("https://mbw.imageplant.de/","Quelle öffnen")</x:f>
        <x:v>HYPERLINK is not implemented. linkLocation=https://mbw.imageplant.de/, friendlyName=Quelle öffnen</x:v>
      </x:c>
    </x:row>
    <x:row r="150" ht="75.5999984741211" hidden="0" customHeight="1">
      <x:c r="A150" s="10" t="str">
        <x:v>LINK-0149</x:v>
      </x:c>
      <x:c r="B150" s="10" t="n">
        <x:v>42</x:v>
      </x:c>
      <x:c r="C150" s="10" t="str">
        <x:v>QZBW-/BIOZBW-Gruppenzertifizierung (GZ) und Qualitätsmanagementsystem (QMS)</x:v>
      </x:c>
      <x:c r="D150" s="10" t="str">
        <x:v>Betriebsnachweis- und Korrekturdaten</x:v>
      </x:c>
      <x:c r="E150" s="10" t="str">
        <x:v>Grundlagendokument</x:v>
      </x:c>
      <x:c r="F150" s="10" t="str">
        <x:v>Verordnung (EU) 2018/848</x:v>
      </x:c>
      <x:c r="G150" s="10" t="str">
        <x:v>https://eur-lex.europa.eu/eli/reg/2018/848/oj?locale=de</x:v>
      </x:c>
      <x:c r="H150" s="10" t="e">
        <x:f>HYPERLINK("https://eur-lex.europa.eu/eli/reg/2018/848/oj?locale=de","Quelle öffnen")</x:f>
        <x:v>HYPERLINK is not implemented. linkLocation=https://eur-lex.europa.eu/eli/reg/2018/848/oj?locale=de, friendlyName=Quelle öffnen</x:v>
      </x:c>
    </x:row>
    <x:row r="151" ht="86.4000015258789" hidden="0" customHeight="1">
      <x:c r="A151" s="10" t="str">
        <x:v>LINK-0150</x:v>
      </x:c>
      <x:c r="B151" s="10" t="n">
        <x:v>42</x:v>
      </x:c>
      <x:c r="C151" s="10" t="str">
        <x:v>QZBW-/BIOZBW-Gruppenzertifizierung (GZ) und Qualitätsmanagementsystem (QMS)</x:v>
      </x:c>
      <x:c r="D151" s="10" t="str">
        <x:v>Betriebsnachweis- und Korrekturdaten</x:v>
      </x:c>
      <x:c r="E151" s="10" t="str">
        <x:v>Grundlagendokument</x:v>
      </x:c>
      <x:c r="F151" s="10" t="str">
        <x:v>Delegierte Verordnung (EU) 2021/715</x:v>
      </x:c>
      <x:c r="G151" s="10" t="str">
        <x:v>https://eur-lex.europa.eu/legal-content/DE/ALL/?uri=CELEX:32021R0715</x:v>
      </x:c>
      <x:c r="H151" s="10" t="e">
        <x:f>HYPERLINK("https://eur-lex.europa.eu/legal-content/DE/ALL/?uri=CELEX:32021R0715","Quelle öffnen")</x:f>
        <x:v>HYPERLINK is not implemented. linkLocation=https://eur-lex.europa.eu/legal-content/DE/ALL/?uri=CELEX:32021R0715, friendlyName=Quelle öffnen</x:v>
      </x:c>
    </x:row>
    <x:row r="152" ht="86.4000015258789" hidden="0" customHeight="1">
      <x:c r="A152" s="10" t="str">
        <x:v>LINK-0151</x:v>
      </x:c>
      <x:c r="B152" s="10" t="n">
        <x:v>42</x:v>
      </x:c>
      <x:c r="C152" s="10" t="str">
        <x:v>QZBW-/BIOZBW-Gruppenzertifizierung (GZ) und Qualitätsmanagementsystem (QMS)</x:v>
      </x:c>
      <x:c r="D152" s="10" t="str">
        <x:v>Betriebsnachweis- und Korrekturdaten</x:v>
      </x:c>
      <x:c r="E152" s="10" t="str">
        <x:v>Grundlagendokument</x:v>
      </x:c>
      <x:c r="F152" s="10" t="str">
        <x:v>Durchführungsverordnung (EU) 2021/279</x:v>
      </x:c>
      <x:c r="G152" s="10" t="str">
        <x:v>https://eur-lex.europa.eu/legal-content/DE/ALL/?uri=CELEX:32021R0279</x:v>
      </x:c>
      <x:c r="H152" s="10" t="e">
        <x:f>HYPERLINK("https://eur-lex.europa.eu/legal-content/DE/ALL/?uri=CELEX:32021R0279","Quelle öffnen")</x:f>
        <x:v>HYPERLINK is not implemented. linkLocation=https://eur-lex.europa.eu/legal-content/DE/ALL/?uri=CELEX:32021R0279, friendlyName=Quelle öffnen</x:v>
      </x:c>
    </x:row>
    <x:row r="153" ht="64.80000305175781" hidden="0" customHeight="1">
      <x:c r="A153" s="10" t="str">
        <x:v>LINK-0152</x:v>
      </x:c>
      <x:c r="B153" s="10" t="n">
        <x:v>42</x:v>
      </x:c>
      <x:c r="C153" s="10" t="str">
        <x:v>QZBW-/BIOZBW-Gruppenzertifizierung (GZ) und Qualitätsmanagementsystem (QMS)</x:v>
      </x:c>
      <x:c r="D153" s="10" t="str">
        <x:v>Betriebsnachweis- und Korrekturdaten</x:v>
      </x:c>
      <x:c r="E153" s="10" t="str">
        <x:v>Übermittlungsart</x:v>
      </x:c>
      <x:c r="F153" s="10" t="str">
        <x:v>MBW-Portal</x:v>
      </x:c>
      <x:c r="G153" s="10" t="str">
        <x:v>https://mbw.imageplant.de/</x:v>
      </x:c>
      <x:c r="H153" s="10" t="e">
        <x:f>HYPERLINK("https://mbw.imageplant.de/","Quelle öffnen")</x:f>
        <x:v>HYPERLINK is not implemented. linkLocation=https://mbw.imageplant.de/, friendlyName=Quelle öffnen</x:v>
      </x:c>
    </x:row>
    <x:row r="154" ht="64.80000305175781" hidden="0" customHeight="1">
      <x:c r="A154" s="10" t="str">
        <x:v>LINK-0153</x:v>
      </x:c>
      <x:c r="B154" s="10" t="n">
        <x:v>43</x:v>
      </x:c>
      <x:c r="C154" s="10" t="str">
        <x:v>QZBW-/BIOZBW-Gruppenzertifizierung (GZ) und Qualitätsmanagementsystem (QMS)</x:v>
      </x:c>
      <x:c r="D154" s="10" t="str">
        <x:v>QMS-Dokumentation</x:v>
      </x:c>
      <x:c r="E154" s="10" t="str">
        <x:v>Grundlagendokument</x:v>
      </x:c>
      <x:c r="F154" s="10" t="str">
        <x:v>QZBW – Anforderungen an Erzeugergruppen, Stand 01.01.2023</x:v>
      </x:c>
      <x:c r="G154" s="10" t="str">
        <x:v>https://mbw.imageplant.de/</x:v>
      </x:c>
      <x:c r="H154" s="10" t="e">
        <x:f>HYPERLINK("https://mbw.imageplant.de/","Quelle öffnen")</x:f>
        <x:v>HYPERLINK is not implemented. linkLocation=https://mbw.imageplant.de/, friendlyName=Quelle öffnen</x:v>
      </x:c>
    </x:row>
    <x:row r="155" ht="64.80000305175781" hidden="0" customHeight="1">
      <x:c r="A155" s="10" t="str">
        <x:v>LINK-0154</x:v>
      </x:c>
      <x:c r="B155" s="10" t="n">
        <x:v>43</x:v>
      </x:c>
      <x:c r="C155" s="10" t="str">
        <x:v>QZBW-/BIOZBW-Gruppenzertifizierung (GZ) und Qualitätsmanagementsystem (QMS)</x:v>
      </x:c>
      <x:c r="D155" s="10" t="str">
        <x:v>QMS-Dokumentation</x:v>
      </x:c>
      <x:c r="E155" s="10" t="str">
        <x:v>Grundlagendokument</x:v>
      </x:c>
      <x:c r="F155" s="10" t="str">
        <x:v>QZBW – Teilnahmevereinbarung Gruppenzertifizierung, Stand 2023</x:v>
      </x:c>
      <x:c r="G155" s="10" t="str">
        <x:v>https://mbw.imageplant.de/</x:v>
      </x:c>
      <x:c r="H155" s="10" t="e">
        <x:f>HYPERLINK("https://mbw.imageplant.de/","Quelle öffnen")</x:f>
        <x:v>HYPERLINK is not implemented. linkLocation=https://mbw.imageplant.de/, friendlyName=Quelle öffnen</x:v>
      </x:c>
    </x:row>
    <x:row r="156" ht="64.80000305175781" hidden="0" customHeight="1">
      <x:c r="A156" s="10" t="str">
        <x:v>LINK-0155</x:v>
      </x:c>
      <x:c r="B156" s="10" t="n">
        <x:v>43</x:v>
      </x:c>
      <x:c r="C156" s="10" t="str">
        <x:v>QZBW-/BIOZBW-Gruppenzertifizierung (GZ) und Qualitätsmanagementsystem (QMS)</x:v>
      </x:c>
      <x:c r="D156" s="10" t="str">
        <x:v>QMS-Dokumentation</x:v>
      </x:c>
      <x:c r="E156" s="10" t="str">
        <x:v>Grundlagendokument</x:v>
      </x:c>
      <x:c r="F156" s="10" t="str">
        <x:v>BIOZBW – Programmbestimmungen, Stand 01.01.2026</x:v>
      </x:c>
      <x:c r="G156" s="10" t="str">
        <x:v>https://mbw.imageplant.de/</x:v>
      </x:c>
      <x:c r="H156" s="10" t="e">
        <x:f>HYPERLINK("https://mbw.imageplant.de/","Quelle öffnen")</x:f>
        <x:v>HYPERLINK is not implemented. linkLocation=https://mbw.imageplant.de/, friendlyName=Quelle öffnen</x:v>
      </x:c>
    </x:row>
    <x:row r="157" ht="75.5999984741211" hidden="0" customHeight="1">
      <x:c r="A157" s="10" t="str">
        <x:v>LINK-0156</x:v>
      </x:c>
      <x:c r="B157" s="10" t="n">
        <x:v>43</x:v>
      </x:c>
      <x:c r="C157" s="10" t="str">
        <x:v>QZBW-/BIOZBW-Gruppenzertifizierung (GZ) und Qualitätsmanagementsystem (QMS)</x:v>
      </x:c>
      <x:c r="D157" s="10" t="str">
        <x:v>QMS-Dokumentation</x:v>
      </x:c>
      <x:c r="E157" s="10" t="str">
        <x:v>Grundlagendokument</x:v>
      </x:c>
      <x:c r="F157" s="10" t="str">
        <x:v>Verordnung (EU) 2018/848</x:v>
      </x:c>
      <x:c r="G157" s="10" t="str">
        <x:v>https://eur-lex.europa.eu/eli/reg/2018/848/oj?locale=de</x:v>
      </x:c>
      <x:c r="H157" s="10" t="e">
        <x:f>HYPERLINK("https://eur-lex.europa.eu/eli/reg/2018/848/oj?locale=de","Quelle öffnen")</x:f>
        <x:v>HYPERLINK is not implemented. linkLocation=https://eur-lex.europa.eu/eli/reg/2018/848/oj?locale=de, friendlyName=Quelle öffnen</x:v>
      </x:c>
    </x:row>
    <x:row r="158" ht="86.4000015258789" hidden="0" customHeight="1">
      <x:c r="A158" s="10" t="str">
        <x:v>LINK-0157</x:v>
      </x:c>
      <x:c r="B158" s="10" t="n">
        <x:v>43</x:v>
      </x:c>
      <x:c r="C158" s="10" t="str">
        <x:v>QZBW-/BIOZBW-Gruppenzertifizierung (GZ) und Qualitätsmanagementsystem (QMS)</x:v>
      </x:c>
      <x:c r="D158" s="10" t="str">
        <x:v>QMS-Dokumentation</x:v>
      </x:c>
      <x:c r="E158" s="10" t="str">
        <x:v>Grundlagendokument</x:v>
      </x:c>
      <x:c r="F158" s="10" t="str">
        <x:v>Delegierte Verordnung (EU) 2021/715</x:v>
      </x:c>
      <x:c r="G158" s="10" t="str">
        <x:v>https://eur-lex.europa.eu/legal-content/DE/ALL/?uri=CELEX:32021R0715</x:v>
      </x:c>
      <x:c r="H158" s="10" t="e">
        <x:f>HYPERLINK("https://eur-lex.europa.eu/legal-content/DE/ALL/?uri=CELEX:32021R0715","Quelle öffnen")</x:f>
        <x:v>HYPERLINK is not implemented. linkLocation=https://eur-lex.europa.eu/legal-content/DE/ALL/?uri=CELEX:32021R0715, friendlyName=Quelle öffnen</x:v>
      </x:c>
    </x:row>
    <x:row r="159" ht="86.4000015258789" hidden="0" customHeight="1">
      <x:c r="A159" s="10" t="str">
        <x:v>LINK-0158</x:v>
      </x:c>
      <x:c r="B159" s="10" t="n">
        <x:v>43</x:v>
      </x:c>
      <x:c r="C159" s="10" t="str">
        <x:v>QZBW-/BIOZBW-Gruppenzertifizierung (GZ) und Qualitätsmanagementsystem (QMS)</x:v>
      </x:c>
      <x:c r="D159" s="10" t="str">
        <x:v>QMS-Dokumentation</x:v>
      </x:c>
      <x:c r="E159" s="10" t="str">
        <x:v>Grundlagendokument</x:v>
      </x:c>
      <x:c r="F159" s="10" t="str">
        <x:v>Durchführungsverordnung (EU) 2021/279</x:v>
      </x:c>
      <x:c r="G159" s="10" t="str">
        <x:v>https://eur-lex.europa.eu/legal-content/DE/ALL/?uri=CELEX:32021R0279</x:v>
      </x:c>
      <x:c r="H159" s="10" t="e">
        <x:f>HYPERLINK("https://eur-lex.europa.eu/legal-content/DE/ALL/?uri=CELEX:32021R0279","Quelle öffnen")</x:f>
        <x:v>HYPERLINK is not implemented. linkLocation=https://eur-lex.europa.eu/legal-content/DE/ALL/?uri=CELEX:32021R0279, friendlyName=Quelle öffnen</x:v>
      </x:c>
    </x:row>
    <x:row r="160" ht="75.5999984741211" hidden="0" customHeight="1">
      <x:c r="A160" s="10" t="str">
        <x:v>LINK-0159</x:v>
      </x:c>
      <x:c r="B160" s="10" t="n">
        <x:v>44</x:v>
      </x:c>
      <x:c r="C160" s="10" t="str">
        <x:v>QZBW-/BIOZBW-Zeichennutzung</x:v>
      </x:c>
      <x:c r="D160" s="10" t="str">
        <x:v>Betriebs- und Produktdaten Zeichennutzung</x:v>
      </x:c>
      <x:c r="E160" s="10" t="str">
        <x:v>Grundlagendokument</x:v>
      </x:c>
      <x:c r="F160" s="10" t="str">
        <x:v>Qualitätszeichen Baden-Württemberg</x:v>
      </x:c>
      <x:c r="G160" s="10" t="str">
        <x:v>https://www.gemeinschaftsmarketing-bw.de/</x:v>
      </x:c>
      <x:c r="H160" s="10" t="e">
        <x:f>HYPERLINK("https://www.gemeinschaftsmarketing-bw.de/","Quelle öffnen")</x:f>
        <x:v>HYPERLINK is not implemented. linkLocation=https://www.gemeinschaftsmarketing-bw.de/, friendlyName=Quelle öffnen</x:v>
      </x:c>
    </x:row>
    <x:row r="161" ht="64.80000305175781" hidden="0" customHeight="1">
      <x:c r="A161" s="10" t="str">
        <x:v>LINK-0160</x:v>
      </x:c>
      <x:c r="B161" s="10" t="n">
        <x:v>44</x:v>
      </x:c>
      <x:c r="C161" s="10" t="str">
        <x:v>QZBW-/BIOZBW-Zeichennutzung</x:v>
      </x:c>
      <x:c r="D161" s="10" t="str">
        <x:v>Betriebs- und Produktdaten Zeichennutzung</x:v>
      </x:c>
      <x:c r="E161" s="10" t="str">
        <x:v>Grundlagendokument</x:v>
      </x:c>
      <x:c r="F161" s="10" t="str">
        <x:v>Biozeichen Baden-Württemberg</x:v>
      </x:c>
      <x:c r="G161" s="10" t="str">
        <x:v>https://www.bio-aus-bw.de/</x:v>
      </x:c>
      <x:c r="H161" s="10" t="e">
        <x:f>HYPERLINK("https://www.bio-aus-bw.de/","Quelle öffnen")</x:f>
        <x:v>HYPERLINK is not implemented. linkLocation=https://www.bio-aus-bw.de/, friendlyName=Quelle öffnen</x:v>
      </x:c>
    </x:row>
    <x:row r="162" ht="86.4000015258789" hidden="0" customHeight="1">
      <x:c r="A162" s="10" t="str">
        <x:v>LINK-0161</x:v>
      </x:c>
      <x:c r="B162" s="10" t="n">
        <x:v>44</x:v>
      </x:c>
      <x:c r="C162" s="10" t="str">
        <x:v>QZBW-/BIOZBW-Zeichennutzung</x:v>
      </x:c>
      <x:c r="D162" s="10" t="str">
        <x:v>Betriebs- und Produktdaten Zeichennutzung</x:v>
      </x:c>
      <x:c r="E162" s="10" t="str">
        <x:v>Grundlagendokument</x:v>
      </x:c>
      <x:c r="F162" s="10" t="str">
        <x:v>Mitteilung der Kommission - EU-Leitlinien für eine gute Praxis bei freiwilligen Zertifizierungssystemen für landwirtschaftliche Erzeugnisse und Lebensmittel</x:v>
      </x:c>
      <x:c r="G162" s="10" t="str">
        <x:v>https://eur-lex.europa.eu/legal-content/DE/TXT/?uri=CELEX:52010XC1216(02)</x:v>
      </x:c>
      <x:c r="H162" s="10" t="e">
        <x:f>HYPERLINK("https://eur-lex.europa.eu/legal-content/DE/TXT/?uri=CELEX:52010XC1216(02)","Quelle öffnen")</x:f>
        <x:v>HYPERLINK is not implemented. linkLocation=https://eur-lex.europa.eu/legal-content/DE/TXT/?uri=CELEX:52010XC1216(02), friendlyName=Quelle öffnen</x:v>
      </x:c>
    </x:row>
    <x:row r="163" ht="75.5999984741211" hidden="0" customHeight="1">
      <x:c r="A163" s="10" t="str">
        <x:v>LINK-0162</x:v>
      </x:c>
      <x:c r="B163" s="10" t="n">
        <x:v>45</x:v>
      </x:c>
      <x:c r="C163" s="10" t="str">
        <x:v>QZBW-/BIOZBW-Zeichennutzung</x:v>
      </x:c>
      <x:c r="D163" s="10" t="str">
        <x:v>Gebündelte Zeichennutzungsunterlagen</x:v>
      </x:c>
      <x:c r="E163" s="10" t="str">
        <x:v>Grundlagendokument</x:v>
      </x:c>
      <x:c r="F163" s="10" t="str">
        <x:v>Qualitätszeichen Baden-Württemberg</x:v>
      </x:c>
      <x:c r="G163" s="10" t="str">
        <x:v>https://www.gemeinschaftsmarketing-bw.de/</x:v>
      </x:c>
      <x:c r="H163" s="10" t="e">
        <x:f>HYPERLINK("https://www.gemeinschaftsmarketing-bw.de/","Quelle öffnen")</x:f>
        <x:v>HYPERLINK is not implemented. linkLocation=https://www.gemeinschaftsmarketing-bw.de/, friendlyName=Quelle öffnen</x:v>
      </x:c>
    </x:row>
    <x:row r="164" ht="64.80000305175781" hidden="0" customHeight="1">
      <x:c r="A164" s="10" t="str">
        <x:v>LINK-0163</x:v>
      </x:c>
      <x:c r="B164" s="10" t="n">
        <x:v>45</x:v>
      </x:c>
      <x:c r="C164" s="10" t="str">
        <x:v>QZBW-/BIOZBW-Zeichennutzung</x:v>
      </x:c>
      <x:c r="D164" s="10" t="str">
        <x:v>Gebündelte Zeichennutzungsunterlagen</x:v>
      </x:c>
      <x:c r="E164" s="10" t="str">
        <x:v>Grundlagendokument</x:v>
      </x:c>
      <x:c r="F164" s="10" t="str">
        <x:v>Biozeichen Baden-Württemberg</x:v>
      </x:c>
      <x:c r="G164" s="10" t="str">
        <x:v>https://www.bio-aus-bw.de/</x:v>
      </x:c>
      <x:c r="H164" s="10" t="e">
        <x:f>HYPERLINK("https://www.bio-aus-bw.de/","Quelle öffnen")</x:f>
        <x:v>HYPERLINK is not implemented. linkLocation=https://www.bio-aus-bw.de/, friendlyName=Quelle öffnen</x:v>
      </x:c>
    </x:row>
    <x:row r="165" ht="86.4000015258789" hidden="0" customHeight="1">
      <x:c r="A165" s="10" t="str">
        <x:v>LINK-0164</x:v>
      </x:c>
      <x:c r="B165" s="10" t="n">
        <x:v>45</x:v>
      </x:c>
      <x:c r="C165" s="10" t="str">
        <x:v>QZBW-/BIOZBW-Zeichennutzung</x:v>
      </x:c>
      <x:c r="D165" s="10" t="str">
        <x:v>Gebündelte Zeichennutzungsunterlagen</x:v>
      </x:c>
      <x:c r="E165" s="10" t="str">
        <x:v>Grundlagendokument</x:v>
      </x:c>
      <x:c r="F165" s="10" t="str">
        <x:v>Mitteilung der Kommission - EU-Leitlinien für eine gute Praxis bei freiwilligen Zertifizierungssystemen für landwirtschaftliche Erzeugnisse und Lebensmittel</x:v>
      </x:c>
      <x:c r="G165" s="10" t="str">
        <x:v>https://eur-lex.europa.eu/legal-content/DE/TXT/?uri=CELEX:52010XC1216(02)</x:v>
      </x:c>
      <x:c r="H165" s="10" t="e">
        <x:f>HYPERLINK("https://eur-lex.europa.eu/legal-content/DE/TXT/?uri=CELEX:52010XC1216(02)","Quelle öffnen")</x:f>
        <x:v>HYPERLINK is not implemented. linkLocation=https://eur-lex.europa.eu/legal-content/DE/TXT/?uri=CELEX:52010XC1216(02), friendlyName=Quelle öffnen</x:v>
      </x:c>
    </x:row>
    <x:row r="166" ht="118.80000305175781" hidden="0" customHeight="1">
      <x:c r="A166" s="10" t="str">
        <x:v>LINK-0165</x:v>
      </x:c>
      <x:c r="B166" s="10" t="n">
        <x:v>45</x:v>
      </x:c>
      <x:c r="C166" s="10" t="str">
        <x:v>QZBW-/BIOZBW-Zeichennutzung</x:v>
      </x:c>
      <x:c r="D166" s="10" t="str">
        <x:v>Gebündelte Zeichennutzungsunterlagen</x:v>
      </x:c>
      <x:c r="E166" s="10" t="str">
        <x:v>Übermittlungsart</x:v>
      </x:c>
      <x:c r="F166" s="10" t="str">
        <x:v>Formulare Online bei WBI Freiburg</x:v>
      </x:c>
      <x:c r="G166" s="10" t="str">
        <x:v>https://wbi.landwirtschaft-bw.de/%2CLde/Startseite/Service/Formulare%2Bund%2BAntraege%2Bder%2BWeinbaukartei%2Bund%2BWeinmarktverwaltung</x:v>
      </x:c>
      <x:c r="H166"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167" ht="75.5999984741211" hidden="0" customHeight="1">
      <x:c r="A167" s="10" t="str">
        <x:v>LINK-0166</x:v>
      </x:c>
      <x:c r="B167" s="10" t="n">
        <x:v>46</x:v>
      </x:c>
      <x:c r="C167" s="10" t="str">
        <x:v>Beantragung der A.P.-Nummer und amtliche Qualitätsprüfung</x:v>
      </x:c>
      <x:c r="D167" s="10" t="str">
        <x:v>AP-Prüfunterlagen</x:v>
      </x:c>
      <x:c r="E167" s="10" t="str">
        <x:v>Grundlagendokument</x:v>
      </x:c>
      <x:c r="F167" s="10" t="str">
        <x:v>Weingesetz</x:v>
      </x:c>
      <x:c r="G167" s="10" t="str">
        <x:v>https://www.gesetze-im-internet.de/weing_1994/</x:v>
      </x:c>
      <x:c r="H167" s="10" t="e">
        <x:f>HYPERLINK("https://www.gesetze-im-internet.de/weing_1994/","Quelle öffnen")</x:f>
        <x:v>HYPERLINK is not implemented. linkLocation=https://www.gesetze-im-internet.de/weing_1994/, friendlyName=Quelle öffnen</x:v>
      </x:c>
    </x:row>
    <x:row r="168" ht="75.5999984741211" hidden="0" customHeight="1">
      <x:c r="A168" s="10" t="str">
        <x:v>LINK-0167</x:v>
      </x:c>
      <x:c r="B168" s="10" t="n">
        <x:v>46</x:v>
      </x:c>
      <x:c r="C168" s="10" t="str">
        <x:v>Beantragung der A.P.-Nummer und amtliche Qualitätsprüfung</x:v>
      </x:c>
      <x:c r="D168" s="10" t="str">
        <x:v>AP-Prüfunterlagen</x:v>
      </x:c>
      <x:c r="E168" s="10" t="str">
        <x:v>Grundlagendokument</x:v>
      </x:c>
      <x:c r="F168" s="10" t="str">
        <x:v>Wein-Überwachungsverordnung</x:v>
      </x:c>
      <x:c r="G168" s="10" t="str">
        <x:v>https://www.gesetze-im-internet.de/wein_v_1995/</x:v>
      </x:c>
      <x:c r="H168" s="10" t="e">
        <x:f>HYPERLINK("https://www.gesetze-im-internet.de/wein_v_1995/","Quelle öffnen")</x:f>
        <x:v>HYPERLINK is not implemented. linkLocation=https://www.gesetze-im-internet.de/wein_v_1995/, friendlyName=Quelle öffnen</x:v>
      </x:c>
    </x:row>
    <x:row r="169" ht="118.80000305175781" hidden="0" customHeight="1">
      <x:c r="A169" s="10" t="str">
        <x:v>LINK-0168</x:v>
      </x:c>
      <x:c r="B169" s="10" t="n">
        <x:v>46</x:v>
      </x:c>
      <x:c r="C169" s="10" t="str">
        <x:v>Beantragung der A.P.-Nummer und amtliche Qualitätsprüfung</x:v>
      </x:c>
      <x:c r="D169" s="10" t="str">
        <x:v>AP-Prüfunterlagen</x:v>
      </x:c>
      <x:c r="E169" s="10" t="str">
        <x:v>Übermittlungsart</x:v>
      </x:c>
      <x:c r="F169" s="10" t="str">
        <x:v>Formulare Online bei WBI Freiburg</x:v>
      </x:c>
      <x:c r="G169" s="10" t="str">
        <x:v>https://wbi.landwirtschaft-bw.de/%2CLde/Startseite/Service/Formulare%2Bund%2BAntraege%2Bder%2BWeinbaukartei%2Bund%2BWeinmarktverwaltung</x:v>
      </x:c>
      <x:c r="H169" s="10" t="e">
        <x:f>HYPERLINK("https://wbi.landwirtschaft-bw.de/%2CLde/Startseite/Service/Formulare%2Bund%2BAntraege%2Bder%2BWeinbaukartei%2Bund%2BWeinmarktverwaltung","Quelle öffnen")</x:f>
        <x:v>HYPERLINK is not implemented. linkLocation=https://wbi.landwirtschaft-bw.de/%2CLde/Startseite/Service/Formulare%2Bund%2BAntraege%2Bder%2BWeinbaukartei%2Bund%2BWeinmarktverwaltung, friendlyName=Quelle öffnen</x:v>
      </x:c>
    </x:row>
    <x:row r="170" ht="75.5999984741211" hidden="0" customHeight="1">
      <x:c r="A170" s="10" t="str">
        <x:v>LINK-0169</x:v>
      </x:c>
      <x:c r="B170" s="10" t="n">
        <x:v>47</x:v>
      </x:c>
      <x:c r="C170" s="10" t="str">
        <x:v>Beantragung der A.P.-Nummer und amtliche Qualitätsprüfung</x:v>
      </x:c>
      <x:c r="D170" s="10" t="str">
        <x:v>AP-Prüfergebnis</x:v>
      </x:c>
      <x:c r="E170" s="10" t="str">
        <x:v>Grundlagendokument</x:v>
      </x:c>
      <x:c r="F170" s="10" t="str">
        <x:v>Weingesetz</x:v>
      </x:c>
      <x:c r="G170" s="10" t="str">
        <x:v>https://www.gesetze-im-internet.de/weing_1994/</x:v>
      </x:c>
      <x:c r="H170" s="10" t="e">
        <x:f>HYPERLINK("https://www.gesetze-im-internet.de/weing_1994/","Quelle öffnen")</x:f>
        <x:v>HYPERLINK is not implemented. linkLocation=https://www.gesetze-im-internet.de/weing_1994/, friendlyName=Quelle öffnen</x:v>
      </x:c>
    </x:row>
    <x:row r="171" ht="75.5999984741211" hidden="0" customHeight="1">
      <x:c r="A171" s="10" t="str">
        <x:v>LINK-0170</x:v>
      </x:c>
      <x:c r="B171" s="10" t="n">
        <x:v>47</x:v>
      </x:c>
      <x:c r="C171" s="10" t="str">
        <x:v>Beantragung der A.P.-Nummer und amtliche Qualitätsprüfung</x:v>
      </x:c>
      <x:c r="D171" s="10" t="str">
        <x:v>AP-Prüfergebnis</x:v>
      </x:c>
      <x:c r="E171" s="10" t="str">
        <x:v>Grundlagendokument</x:v>
      </x:c>
      <x:c r="F171" s="10" t="str">
        <x:v>Wein-Überwachungsverordnung</x:v>
      </x:c>
      <x:c r="G171" s="10" t="str">
        <x:v>https://www.gesetze-im-internet.de/wein_v_1995/</x:v>
      </x:c>
      <x:c r="H171" s="10" t="e">
        <x:f>HYPERLINK("https://www.gesetze-im-internet.de/wein_v_1995/","Quelle öffnen")</x:f>
        <x:v>HYPERLINK is not implemented. linkLocation=https://www.gesetze-im-internet.de/wein_v_1995/, friendlyName=Quelle öffnen</x:v>
      </x:c>
    </x:row>
    <x:row r="172" ht="75.5999984741211" hidden="0" customHeight="1">
      <x:c r="A172" s="10" t="str">
        <x:v>LINK-0171</x:v>
      </x:c>
      <x:c r="B172" s="10" t="n">
        <x:v>48</x:v>
      </x:c>
      <x:c r="C172" s="10" t="str">
        <x:v>QZBW-/BIOZBW-Einzelzertifizierung (EZ)</x:v>
      </x:c>
      <x:c r="D172" s="10" t="str">
        <x:v>EZ-Kontrollunterlagen</x:v>
      </x:c>
      <x:c r="E172" s="10" t="str">
        <x:v>Grundlagendokument</x:v>
      </x:c>
      <x:c r="F172" s="10" t="str">
        <x:v>Qualitätszeichen Baden-Württemberg</x:v>
      </x:c>
      <x:c r="G172" s="10" t="str">
        <x:v>https://www.gemeinschaftsmarketing-bw.de/</x:v>
      </x:c>
      <x:c r="H172" s="10" t="e">
        <x:f>HYPERLINK("https://www.gemeinschaftsmarketing-bw.de/","Quelle öffnen")</x:f>
        <x:v>HYPERLINK is not implemented. linkLocation=https://www.gemeinschaftsmarketing-bw.de/, friendlyName=Quelle öffnen</x:v>
      </x:c>
    </x:row>
    <x:row r="173" ht="64.80000305175781" hidden="0" customHeight="1">
      <x:c r="A173" s="10" t="str">
        <x:v>LINK-0172</x:v>
      </x:c>
      <x:c r="B173" s="10" t="n">
        <x:v>48</x:v>
      </x:c>
      <x:c r="C173" s="10" t="str">
        <x:v>QZBW-/BIOZBW-Einzelzertifizierung (EZ)</x:v>
      </x:c>
      <x:c r="D173" s="10" t="str">
        <x:v>EZ-Kontrollunterlagen</x:v>
      </x:c>
      <x:c r="E173" s="10" t="str">
        <x:v>Grundlagendokument</x:v>
      </x:c>
      <x:c r="F173" s="10" t="str">
        <x:v>Biozeichen Baden-Württemberg</x:v>
      </x:c>
      <x:c r="G173" s="10" t="str">
        <x:v>https://www.bio-aus-bw.de/</x:v>
      </x:c>
      <x:c r="H173" s="10" t="e">
        <x:f>HYPERLINK("https://www.bio-aus-bw.de/","Quelle öffnen")</x:f>
        <x:v>HYPERLINK is not implemented. linkLocation=https://www.bio-aus-bw.de/, friendlyName=Quelle öffnen</x:v>
      </x:c>
    </x:row>
    <x:row r="174" ht="86.4000015258789" hidden="0" customHeight="1">
      <x:c r="A174" s="10" t="str">
        <x:v>LINK-0173</x:v>
      </x:c>
      <x:c r="B174" s="10" t="n">
        <x:v>48</x:v>
      </x:c>
      <x:c r="C174" s="10" t="str">
        <x:v>QZBW-/BIOZBW-Einzelzertifizierung (EZ)</x:v>
      </x:c>
      <x:c r="D174" s="10" t="str">
        <x:v>EZ-Kontrollunterlagen</x:v>
      </x:c>
      <x:c r="E174" s="10" t="str">
        <x:v>Grundlagendokument</x:v>
      </x:c>
      <x:c r="F174" s="10" t="str">
        <x:v>Mitteilung der Kommission - EU-Leitlinien für eine gute Praxis bei freiwilligen Zertifizierungssystemen für landwirtschaftliche Erzeugnisse und Lebensmittel</x:v>
      </x:c>
      <x:c r="G174" s="10" t="str">
        <x:v>https://eur-lex.europa.eu/legal-content/DE/TXT/?uri=CELEX:52010XC1216(02)</x:v>
      </x:c>
      <x:c r="H174" s="10" t="e">
        <x:f>HYPERLINK("https://eur-lex.europa.eu/legal-content/DE/TXT/?uri=CELEX:52010XC1216(02)","Quelle öffnen")</x:f>
        <x:v>HYPERLINK is not implemented. linkLocation=https://eur-lex.europa.eu/legal-content/DE/TXT/?uri=CELEX:52010XC1216(02), friendlyName=Quelle öffnen</x:v>
      </x:c>
    </x:row>
    <x:row r="175" ht="75.5999984741211" hidden="0" customHeight="1">
      <x:c r="A175" s="10" t="str">
        <x:v>LINK-0174</x:v>
      </x:c>
      <x:c r="B175" s="10" t="n">
        <x:v>49</x:v>
      </x:c>
      <x:c r="C175" s="10" t="str">
        <x:v>QZBW-/BIOZBW-Einzelzertifizierung (EZ)</x:v>
      </x:c>
      <x:c r="D175" s="10" t="str">
        <x:v>EZ-Kontrollbericht</x:v>
      </x:c>
      <x:c r="E175" s="10" t="str">
        <x:v>Grundlagendokument</x:v>
      </x:c>
      <x:c r="F175" s="10" t="str">
        <x:v>Qualitätszeichen Baden-Württemberg</x:v>
      </x:c>
      <x:c r="G175" s="10" t="str">
        <x:v>https://www.gemeinschaftsmarketing-bw.de/</x:v>
      </x:c>
      <x:c r="H175" s="10" t="e">
        <x:f>HYPERLINK("https://www.gemeinschaftsmarketing-bw.de/","Quelle öffnen")</x:f>
        <x:v>HYPERLINK is not implemented. linkLocation=https://www.gemeinschaftsmarketing-bw.de/, friendlyName=Quelle öffnen</x:v>
      </x:c>
    </x:row>
    <x:row r="176" ht="64.80000305175781" hidden="0" customHeight="1">
      <x:c r="A176" s="10" t="str">
        <x:v>LINK-0175</x:v>
      </x:c>
      <x:c r="B176" s="10" t="n">
        <x:v>49</x:v>
      </x:c>
      <x:c r="C176" s="10" t="str">
        <x:v>QZBW-/BIOZBW-Einzelzertifizierung (EZ)</x:v>
      </x:c>
      <x:c r="D176" s="10" t="str">
        <x:v>EZ-Kontrollbericht</x:v>
      </x:c>
      <x:c r="E176" s="10" t="str">
        <x:v>Grundlagendokument</x:v>
      </x:c>
      <x:c r="F176" s="10" t="str">
        <x:v>Biozeichen Baden-Württemberg</x:v>
      </x:c>
      <x:c r="G176" s="10" t="str">
        <x:v>https://www.bio-aus-bw.de/</x:v>
      </x:c>
      <x:c r="H176" s="10" t="e">
        <x:f>HYPERLINK("https://www.bio-aus-bw.de/","Quelle öffnen")</x:f>
        <x:v>HYPERLINK is not implemented. linkLocation=https://www.bio-aus-bw.de/, friendlyName=Quelle öffnen</x:v>
      </x:c>
    </x:row>
    <x:row r="177" ht="86.4000015258789" hidden="0" customHeight="1">
      <x:c r="A177" s="10" t="str">
        <x:v>LINK-0176</x:v>
      </x:c>
      <x:c r="B177" s="10" t="n">
        <x:v>49</x:v>
      </x:c>
      <x:c r="C177" s="10" t="str">
        <x:v>QZBW-/BIOZBW-Einzelzertifizierung (EZ)</x:v>
      </x:c>
      <x:c r="D177" s="10" t="str">
        <x:v>EZ-Kontrollbericht</x:v>
      </x:c>
      <x:c r="E177" s="10" t="str">
        <x:v>Grundlagendokument</x:v>
      </x:c>
      <x:c r="F177" s="10" t="str">
        <x:v>Mitteilung der Kommission - EU-Leitlinien für eine gute Praxis bei freiwilligen Zertifizierungssystemen für landwirtschaftliche Erzeugnisse und Lebensmittel</x:v>
      </x:c>
      <x:c r="G177" s="10" t="str">
        <x:v>https://eur-lex.europa.eu/legal-content/DE/TXT/?uri=CELEX:52010XC1216(02)</x:v>
      </x:c>
      <x:c r="H177" s="10" t="e">
        <x:f>HYPERLINK("https://eur-lex.europa.eu/legal-content/DE/TXT/?uri=CELEX:52010XC1216(02)","Quelle öffnen")</x:f>
        <x:v>HYPERLINK is not implemented. linkLocation=https://eur-lex.europa.eu/legal-content/DE/TXT/?uri=CELEX:52010XC1216(02), friendlyName=Quelle öffnen</x:v>
      </x:c>
    </x:row>
    <x:row r="178" ht="64.80000305175781" hidden="0" customHeight="1">
      <x:c r="A178" s="10" t="str">
        <x:v>LINK-0177</x:v>
      </x:c>
      <x:c r="B178" s="10" t="n">
        <x:v>49</x:v>
      </x:c>
      <x:c r="C178" s="10" t="str">
        <x:v>QZBW-/BIOZBW-Einzelzertifizierung (EZ)</x:v>
      </x:c>
      <x:c r="D178" s="10" t="str">
        <x:v>EZ-Kontrollbericht</x:v>
      </x:c>
      <x:c r="E178" s="10" t="str">
        <x:v>Übermittlungsart</x:v>
      </x:c>
      <x:c r="F178" s="10" t="str">
        <x:v>MBW-Portal</x:v>
      </x:c>
      <x:c r="G178" s="10" t="str">
        <x:v>https://mbw.imageplant.de/</x:v>
      </x:c>
      <x:c r="H178" s="10" t="e">
        <x:f>HYPERLINK("https://mbw.imageplant.de/","Quelle öffnen")</x:f>
        <x:v>HYPERLINK is not implemented. linkLocation=https://mbw.imageplant.de/, friendlyName=Quelle öffnen</x:v>
      </x:c>
    </x:row>
    <x:row r="179" ht="64.80000305175781" hidden="0" customHeight="1">
      <x:c r="A179" s="10" t="str">
        <x:v>LINK-0178</x:v>
      </x:c>
      <x:c r="B179" s="10" t="n">
        <x:v>50</x:v>
      </x:c>
      <x:c r="C179" s="10" t="str">
        <x:v>QZBW-/BIOZBW-Gruppenzertifizierung (GZ) und Qualitätsmanagementsystem (QMS)</x:v>
      </x:c>
      <x:c r="D179" s="10" t="str">
        <x:v>QMS-Kontrollunterlagen</x:v>
      </x:c>
      <x:c r="E179" s="10" t="str">
        <x:v>Grundlagendokument</x:v>
      </x:c>
      <x:c r="F179" s="10" t="str">
        <x:v>QZBW – Anforderungen an Erzeugergruppen, Stand 01.01.2023</x:v>
      </x:c>
      <x:c r="G179" s="10" t="str">
        <x:v>https://mbw.imageplant.de/</x:v>
      </x:c>
      <x:c r="H179" s="10" t="e">
        <x:f>HYPERLINK("https://mbw.imageplant.de/","Quelle öffnen")</x:f>
        <x:v>HYPERLINK is not implemented. linkLocation=https://mbw.imageplant.de/, friendlyName=Quelle öffnen</x:v>
      </x:c>
    </x:row>
    <x:row r="180" ht="64.80000305175781" hidden="0" customHeight="1">
      <x:c r="A180" s="10" t="str">
        <x:v>LINK-0179</x:v>
      </x:c>
      <x:c r="B180" s="10" t="n">
        <x:v>50</x:v>
      </x:c>
      <x:c r="C180" s="10" t="str">
        <x:v>QZBW-/BIOZBW-Gruppenzertifizierung (GZ) und Qualitätsmanagementsystem (QMS)</x:v>
      </x:c>
      <x:c r="D180" s="10" t="str">
        <x:v>QMS-Kontrollunterlagen</x:v>
      </x:c>
      <x:c r="E180" s="10" t="str">
        <x:v>Grundlagendokument</x:v>
      </x:c>
      <x:c r="F180" s="10" t="str">
        <x:v>QZBW – Teilnahmevereinbarung Gruppenzertifizierung, Stand 2023</x:v>
      </x:c>
      <x:c r="G180" s="10" t="str">
        <x:v>https://mbw.imageplant.de/</x:v>
      </x:c>
      <x:c r="H180" s="10" t="e">
        <x:f>HYPERLINK("https://mbw.imageplant.de/","Quelle öffnen")</x:f>
        <x:v>HYPERLINK is not implemented. linkLocation=https://mbw.imageplant.de/, friendlyName=Quelle öffnen</x:v>
      </x:c>
    </x:row>
    <x:row r="181" ht="64.80000305175781" hidden="0" customHeight="1">
      <x:c r="A181" s="10" t="str">
        <x:v>LINK-0180</x:v>
      </x:c>
      <x:c r="B181" s="10" t="n">
        <x:v>50</x:v>
      </x:c>
      <x:c r="C181" s="10" t="str">
        <x:v>QZBW-/BIOZBW-Gruppenzertifizierung (GZ) und Qualitätsmanagementsystem (QMS)</x:v>
      </x:c>
      <x:c r="D181" s="10" t="str">
        <x:v>QMS-Kontrollunterlagen</x:v>
      </x:c>
      <x:c r="E181" s="10" t="str">
        <x:v>Grundlagendokument</x:v>
      </x:c>
      <x:c r="F181" s="10" t="str">
        <x:v>BIOZBW – Programmbestimmungen, Stand 01.01.2026</x:v>
      </x:c>
      <x:c r="G181" s="10" t="str">
        <x:v>https://mbw.imageplant.de/</x:v>
      </x:c>
      <x:c r="H181" s="10" t="e">
        <x:f>HYPERLINK("https://mbw.imageplant.de/","Quelle öffnen")</x:f>
        <x:v>HYPERLINK is not implemented. linkLocation=https://mbw.imageplant.de/, friendlyName=Quelle öffnen</x:v>
      </x:c>
    </x:row>
    <x:row r="182" ht="75.5999984741211" hidden="0" customHeight="1">
      <x:c r="A182" s="10" t="str">
        <x:v>LINK-0181</x:v>
      </x:c>
      <x:c r="B182" s="10" t="n">
        <x:v>50</x:v>
      </x:c>
      <x:c r="C182" s="10" t="str">
        <x:v>QZBW-/BIOZBW-Gruppenzertifizierung (GZ) und Qualitätsmanagementsystem (QMS)</x:v>
      </x:c>
      <x:c r="D182" s="10" t="str">
        <x:v>QMS-Kontrollunterlagen</x:v>
      </x:c>
      <x:c r="E182" s="10" t="str">
        <x:v>Grundlagendokument</x:v>
      </x:c>
      <x:c r="F182" s="10" t="str">
        <x:v>Verordnung (EU) 2018/848</x:v>
      </x:c>
      <x:c r="G182" s="10" t="str">
        <x:v>https://eur-lex.europa.eu/eli/reg/2018/848/oj?locale=de</x:v>
      </x:c>
      <x:c r="H182" s="10" t="e">
        <x:f>HYPERLINK("https://eur-lex.europa.eu/eli/reg/2018/848/oj?locale=de","Quelle öffnen")</x:f>
        <x:v>HYPERLINK is not implemented. linkLocation=https://eur-lex.europa.eu/eli/reg/2018/848/oj?locale=de, friendlyName=Quelle öffnen</x:v>
      </x:c>
    </x:row>
    <x:row r="183" ht="86.4000015258789" hidden="0" customHeight="1">
      <x:c r="A183" s="10" t="str">
        <x:v>LINK-0182</x:v>
      </x:c>
      <x:c r="B183" s="10" t="n">
        <x:v>50</x:v>
      </x:c>
      <x:c r="C183" s="10" t="str">
        <x:v>QZBW-/BIOZBW-Gruppenzertifizierung (GZ) und Qualitätsmanagementsystem (QMS)</x:v>
      </x:c>
      <x:c r="D183" s="10" t="str">
        <x:v>QMS-Kontrollunterlagen</x:v>
      </x:c>
      <x:c r="E183" s="10" t="str">
        <x:v>Grundlagendokument</x:v>
      </x:c>
      <x:c r="F183" s="10" t="str">
        <x:v>Delegierte Verordnung (EU) 2021/715</x:v>
      </x:c>
      <x:c r="G183" s="10" t="str">
        <x:v>https://eur-lex.europa.eu/legal-content/DE/ALL/?uri=CELEX:32021R0715</x:v>
      </x:c>
      <x:c r="H183" s="10" t="e">
        <x:f>HYPERLINK("https://eur-lex.europa.eu/legal-content/DE/ALL/?uri=CELEX:32021R0715","Quelle öffnen")</x:f>
        <x:v>HYPERLINK is not implemented. linkLocation=https://eur-lex.europa.eu/legal-content/DE/ALL/?uri=CELEX:32021R0715, friendlyName=Quelle öffnen</x:v>
      </x:c>
    </x:row>
    <x:row r="184" ht="86.4000015258789" hidden="0" customHeight="1">
      <x:c r="A184" s="10" t="str">
        <x:v>LINK-0183</x:v>
      </x:c>
      <x:c r="B184" s="10" t="n">
        <x:v>50</x:v>
      </x:c>
      <x:c r="C184" s="10" t="str">
        <x:v>QZBW-/BIOZBW-Gruppenzertifizierung (GZ) und Qualitätsmanagementsystem (QMS)</x:v>
      </x:c>
      <x:c r="D184" s="10" t="str">
        <x:v>QMS-Kontrollunterlagen</x:v>
      </x:c>
      <x:c r="E184" s="10" t="str">
        <x:v>Grundlagendokument</x:v>
      </x:c>
      <x:c r="F184" s="10" t="str">
        <x:v>Durchführungsverordnung (EU) 2021/279</x:v>
      </x:c>
      <x:c r="G184" s="10" t="str">
        <x:v>https://eur-lex.europa.eu/legal-content/DE/ALL/?uri=CELEX:32021R0279</x:v>
      </x:c>
      <x:c r="H184" s="10" t="e">
        <x:f>HYPERLINK("https://eur-lex.europa.eu/legal-content/DE/ALL/?uri=CELEX:32021R0279","Quelle öffnen")</x:f>
        <x:v>HYPERLINK is not implemented. linkLocation=https://eur-lex.europa.eu/legal-content/DE/ALL/?uri=CELEX:32021R0279, friendlyName=Quelle öffnen</x:v>
      </x:c>
    </x:row>
    <x:row r="185" ht="64.80000305175781" hidden="0" customHeight="1">
      <x:c r="A185" s="10" t="str">
        <x:v>LINK-0184</x:v>
      </x:c>
      <x:c r="B185" s="10" t="n">
        <x:v>51</x:v>
      </x:c>
      <x:c r="C185" s="10" t="str">
        <x:v>QZBW-/BIOZBW-Gruppenzertifizierung (GZ) und Qualitätsmanagementsystem (QMS)</x:v>
      </x:c>
      <x:c r="D185" s="10" t="str">
        <x:v>QMS-Kontrollergebnis</x:v>
      </x:c>
      <x:c r="E185" s="10" t="str">
        <x:v>Grundlagendokument</x:v>
      </x:c>
      <x:c r="F185" s="10" t="str">
        <x:v>QZBW – Anforderungen an Erzeugergruppen, Stand 01.01.2023</x:v>
      </x:c>
      <x:c r="G185" s="10" t="str">
        <x:v>https://mbw.imageplant.de/</x:v>
      </x:c>
      <x:c r="H185" s="10" t="e">
        <x:f>HYPERLINK("https://mbw.imageplant.de/","Quelle öffnen")</x:f>
        <x:v>HYPERLINK is not implemented. linkLocation=https://mbw.imageplant.de/, friendlyName=Quelle öffnen</x:v>
      </x:c>
    </x:row>
    <x:row r="186" ht="64.80000305175781" hidden="0" customHeight="1">
      <x:c r="A186" s="10" t="str">
        <x:v>LINK-0185</x:v>
      </x:c>
      <x:c r="B186" s="10" t="n">
        <x:v>51</x:v>
      </x:c>
      <x:c r="C186" s="10" t="str">
        <x:v>QZBW-/BIOZBW-Gruppenzertifizierung (GZ) und Qualitätsmanagementsystem (QMS)</x:v>
      </x:c>
      <x:c r="D186" s="10" t="str">
        <x:v>QMS-Kontrollergebnis</x:v>
      </x:c>
      <x:c r="E186" s="10" t="str">
        <x:v>Grundlagendokument</x:v>
      </x:c>
      <x:c r="F186" s="10" t="str">
        <x:v>QZBW – Teilnahmevereinbarung Gruppenzertifizierung, Stand 2023</x:v>
      </x:c>
      <x:c r="G186" s="10" t="str">
        <x:v>https://mbw.imageplant.de/</x:v>
      </x:c>
      <x:c r="H186" s="10" t="e">
        <x:f>HYPERLINK("https://mbw.imageplant.de/","Quelle öffnen")</x:f>
        <x:v>HYPERLINK is not implemented. linkLocation=https://mbw.imageplant.de/, friendlyName=Quelle öffnen</x:v>
      </x:c>
    </x:row>
    <x:row r="187" ht="64.80000305175781" hidden="0" customHeight="1">
      <x:c r="A187" s="10" t="str">
        <x:v>LINK-0186</x:v>
      </x:c>
      <x:c r="B187" s="10" t="n">
        <x:v>51</x:v>
      </x:c>
      <x:c r="C187" s="10" t="str">
        <x:v>QZBW-/BIOZBW-Gruppenzertifizierung (GZ) und Qualitätsmanagementsystem (QMS)</x:v>
      </x:c>
      <x:c r="D187" s="10" t="str">
        <x:v>QMS-Kontrollergebnis</x:v>
      </x:c>
      <x:c r="E187" s="10" t="str">
        <x:v>Grundlagendokument</x:v>
      </x:c>
      <x:c r="F187" s="10" t="str">
        <x:v>BIOZBW – Programmbestimmungen, Stand 01.01.2026</x:v>
      </x:c>
      <x:c r="G187" s="10" t="str">
        <x:v>https://mbw.imageplant.de/</x:v>
      </x:c>
      <x:c r="H187" s="10" t="e">
        <x:f>HYPERLINK("https://mbw.imageplant.de/","Quelle öffnen")</x:f>
        <x:v>HYPERLINK is not implemented. linkLocation=https://mbw.imageplant.de/, friendlyName=Quelle öffnen</x:v>
      </x:c>
    </x:row>
    <x:row r="188" ht="75.5999984741211" hidden="0" customHeight="1">
      <x:c r="A188" s="10" t="str">
        <x:v>LINK-0187</x:v>
      </x:c>
      <x:c r="B188" s="10" t="n">
        <x:v>51</x:v>
      </x:c>
      <x:c r="C188" s="10" t="str">
        <x:v>QZBW-/BIOZBW-Gruppenzertifizierung (GZ) und Qualitätsmanagementsystem (QMS)</x:v>
      </x:c>
      <x:c r="D188" s="10" t="str">
        <x:v>QMS-Kontrollergebnis</x:v>
      </x:c>
      <x:c r="E188" s="10" t="str">
        <x:v>Grundlagendokument</x:v>
      </x:c>
      <x:c r="F188" s="10" t="str">
        <x:v>Verordnung (EU) 2018/848</x:v>
      </x:c>
      <x:c r="G188" s="10" t="str">
        <x:v>https://eur-lex.europa.eu/eli/reg/2018/848/oj?locale=de</x:v>
      </x:c>
      <x:c r="H188" s="10" t="e">
        <x:f>HYPERLINK("https://eur-lex.europa.eu/eli/reg/2018/848/oj?locale=de","Quelle öffnen")</x:f>
        <x:v>HYPERLINK is not implemented. linkLocation=https://eur-lex.europa.eu/eli/reg/2018/848/oj?locale=de, friendlyName=Quelle öffnen</x:v>
      </x:c>
    </x:row>
    <x:row r="189" ht="86.4000015258789" hidden="0" customHeight="1">
      <x:c r="A189" s="10" t="str">
        <x:v>LINK-0188</x:v>
      </x:c>
      <x:c r="B189" s="10" t="n">
        <x:v>51</x:v>
      </x:c>
      <x:c r="C189" s="10" t="str">
        <x:v>QZBW-/BIOZBW-Gruppenzertifizierung (GZ) und Qualitätsmanagementsystem (QMS)</x:v>
      </x:c>
      <x:c r="D189" s="10" t="str">
        <x:v>QMS-Kontrollergebnis</x:v>
      </x:c>
      <x:c r="E189" s="10" t="str">
        <x:v>Grundlagendokument</x:v>
      </x:c>
      <x:c r="F189" s="10" t="str">
        <x:v>Delegierte Verordnung (EU) 2021/715</x:v>
      </x:c>
      <x:c r="G189" s="10" t="str">
        <x:v>https://eur-lex.europa.eu/legal-content/DE/ALL/?uri=CELEX:32021R0715</x:v>
      </x:c>
      <x:c r="H189" s="10" t="e">
        <x:f>HYPERLINK("https://eur-lex.europa.eu/legal-content/DE/ALL/?uri=CELEX:32021R0715","Quelle öffnen")</x:f>
        <x:v>HYPERLINK is not implemented. linkLocation=https://eur-lex.europa.eu/legal-content/DE/ALL/?uri=CELEX:32021R0715, friendlyName=Quelle öffnen</x:v>
      </x:c>
    </x:row>
    <x:row r="190" ht="86.4000015258789" hidden="0" customHeight="1">
      <x:c r="A190" s="10" t="str">
        <x:v>LINK-0189</x:v>
      </x:c>
      <x:c r="B190" s="10" t="n">
        <x:v>51</x:v>
      </x:c>
      <x:c r="C190" s="10" t="str">
        <x:v>QZBW-/BIOZBW-Gruppenzertifizierung (GZ) und Qualitätsmanagementsystem (QMS)</x:v>
      </x:c>
      <x:c r="D190" s="10" t="str">
        <x:v>QMS-Kontrollergebnis</x:v>
      </x:c>
      <x:c r="E190" s="10" t="str">
        <x:v>Grundlagendokument</x:v>
      </x:c>
      <x:c r="F190" s="10" t="str">
        <x:v>Durchführungsverordnung (EU) 2021/279</x:v>
      </x:c>
      <x:c r="G190" s="10" t="str">
        <x:v>https://eur-lex.europa.eu/legal-content/DE/ALL/?uri=CELEX:32021R0279</x:v>
      </x:c>
      <x:c r="H190" s="10" t="e">
        <x:f>HYPERLINK("https://eur-lex.europa.eu/legal-content/DE/ALL/?uri=CELEX:32021R0279","Quelle öffnen")</x:f>
        <x:v>HYPERLINK is not implemented. linkLocation=https://eur-lex.europa.eu/legal-content/DE/ALL/?uri=CELEX:32021R0279, friendlyName=Quelle öffnen</x:v>
      </x:c>
    </x:row>
    <x:row r="191" ht="75.5999984741211" hidden="0" customHeight="1">
      <x:c r="A191" s="10" t="str">
        <x:v>LINK-0190</x:v>
      </x:c>
      <x:c r="B191" s="10" t="n">
        <x:v>52</x:v>
      </x:c>
      <x:c r="C191" s="10" t="str">
        <x:v>QZBW-/BIOZBW-Zeichennutzung</x:v>
      </x:c>
      <x:c r="D191" s="10" t="str">
        <x:v>Zeichennutzungsnachweise</x:v>
      </x:c>
      <x:c r="E191" s="10" t="str">
        <x:v>Grundlagendokument</x:v>
      </x:c>
      <x:c r="F191" s="10" t="str">
        <x:v>Qualitätszeichen Baden-Württemberg</x:v>
      </x:c>
      <x:c r="G191" s="10" t="str">
        <x:v>https://www.gemeinschaftsmarketing-bw.de/</x:v>
      </x:c>
      <x:c r="H191" s="10" t="e">
        <x:f>HYPERLINK("https://www.gemeinschaftsmarketing-bw.de/","Quelle öffnen")</x:f>
        <x:v>HYPERLINK is not implemented. linkLocation=https://www.gemeinschaftsmarketing-bw.de/, friendlyName=Quelle öffnen</x:v>
      </x:c>
    </x:row>
    <x:row r="192" ht="64.80000305175781" hidden="0" customHeight="1">
      <x:c r="A192" s="10" t="str">
        <x:v>LINK-0191</x:v>
      </x:c>
      <x:c r="B192" s="10" t="n">
        <x:v>52</x:v>
      </x:c>
      <x:c r="C192" s="10" t="str">
        <x:v>QZBW-/BIOZBW-Zeichennutzung</x:v>
      </x:c>
      <x:c r="D192" s="10" t="str">
        <x:v>Zeichennutzungsnachweise</x:v>
      </x:c>
      <x:c r="E192" s="10" t="str">
        <x:v>Grundlagendokument</x:v>
      </x:c>
      <x:c r="F192" s="10" t="str">
        <x:v>Biozeichen Baden-Württemberg</x:v>
      </x:c>
      <x:c r="G192" s="10" t="str">
        <x:v>https://www.bio-aus-bw.de/</x:v>
      </x:c>
      <x:c r="H192" s="10" t="e">
        <x:f>HYPERLINK("https://www.bio-aus-bw.de/","Quelle öffnen")</x:f>
        <x:v>HYPERLINK is not implemented. linkLocation=https://www.bio-aus-bw.de/, friendlyName=Quelle öffnen</x:v>
      </x:c>
    </x:row>
    <x:row r="193" ht="86.4000015258789" hidden="0" customHeight="1">
      <x:c r="A193" s="10" t="str">
        <x:v>LINK-0192</x:v>
      </x:c>
      <x:c r="B193" s="10" t="n">
        <x:v>52</x:v>
      </x:c>
      <x:c r="C193" s="10" t="str">
        <x:v>QZBW-/BIOZBW-Zeichennutzung</x:v>
      </x:c>
      <x:c r="D193" s="10" t="str">
        <x:v>Zeichennutzungsnachweise</x:v>
      </x:c>
      <x:c r="E193" s="10" t="str">
        <x:v>Grundlagendokument</x:v>
      </x:c>
      <x:c r="F193" s="10" t="str">
        <x:v>Mitteilung der Kommission - EU-Leitlinien für eine gute Praxis bei freiwilligen Zertifizierungssystemen für landwirtschaftliche Erzeugnisse und Lebensmittel</x:v>
      </x:c>
      <x:c r="G193" s="10" t="str">
        <x:v>https://eur-lex.europa.eu/legal-content/DE/TXT/?uri=CELEX:52010XC1216(02)</x:v>
      </x:c>
      <x:c r="H193" s="10" t="e">
        <x:f>HYPERLINK("https://eur-lex.europa.eu/legal-content/DE/TXT/?uri=CELEX:52010XC1216(02)","Quelle öffnen")</x:f>
        <x:v>HYPERLINK is not implemented. linkLocation=https://eur-lex.europa.eu/legal-content/DE/TXT/?uri=CELEX:52010XC1216(02), friendlyName=Quelle öffnen</x:v>
      </x:c>
    </x:row>
    <x:row r="194" ht="75.5999984741211" hidden="0" customHeight="1">
      <x:c r="A194" s="10" t="str">
        <x:v>LINK-0193</x:v>
      </x:c>
      <x:c r="B194" s="10" t="n">
        <x:v>52</x:v>
      </x:c>
      <x:c r="C194" s="10" t="str">
        <x:v>QZBW-/BIOZBW-Zeichennutzung</x:v>
      </x:c>
      <x:c r="D194" s="10" t="str">
        <x:v>Zeichennutzungsnachweise</x:v>
      </x:c>
      <x:c r="E194" s="10" t="str">
        <x:v>Übermittlungsart</x:v>
      </x:c>
      <x:c r="F194" s="10" t="str">
        <x:v>Übermittlungsweg wird von der jeweiligen Kontrollstelle festgelegt;</x:v>
      </x:c>
      <x:c r="G194" s="10" t="str">
        <x:v>https://www.gemeinschaftsmarketing-bw.de/</x:v>
      </x:c>
      <x:c r="H194" s="10" t="e">
        <x:f>HYPERLINK("https://www.gemeinschaftsmarketing-bw.de/","Quelle öffnen")</x:f>
        <x:v>HYPERLINK is not implemented. linkLocation=https://www.gemeinschaftsmarketing-bw.de/, friendlyName=Quelle öffnen</x:v>
      </x:c>
    </x:row>
    <x:row r="195" ht="64.80000305175781" hidden="0" customHeight="1">
      <x:c r="A195" s="10" t="str">
        <x:v>LINK-0194</x:v>
      </x:c>
      <x:c r="B195" s="10" t="n">
        <x:v>52</x:v>
      </x:c>
      <x:c r="C195" s="10" t="str">
        <x:v>QZBW-/BIOZBW-Zeichennutzung</x:v>
      </x:c>
      <x:c r="D195" s="10" t="str">
        <x:v>Zeichennutzungsnachweise</x:v>
      </x:c>
      <x:c r="E195" s="10" t="str">
        <x:v>Übermittlungsart</x:v>
      </x:c>
      <x:c r="F195" s="10" t="str">
        <x:v>Übermittlungsweg wird von der jeweiligen Kontrollstelle festgelegt;</x:v>
      </x:c>
      <x:c r="G195" s="10" t="str">
        <x:v>https://www.bio-aus-bw.de/</x:v>
      </x:c>
      <x:c r="H195" s="10" t="e">
        <x:f>HYPERLINK("https://www.bio-aus-bw.de/","Quelle öffnen")</x:f>
        <x:v>HYPERLINK is not implemented. linkLocation=https://www.bio-aus-bw.de/, friendlyName=Quelle öffnen</x:v>
      </x:c>
    </x:row>
    <x:row r="196" ht="64.80000305175781" hidden="0" customHeight="1">
      <x:c r="A196" s="10" t="str">
        <x:v>LINK-0195</x:v>
      </x:c>
      <x:c r="B196" s="10" t="n">
        <x:v>53</x:v>
      </x:c>
      <x:c r="C196" s="10" t="str">
        <x:v>QZBW-/BIOZBW-Zeichennutzung</x:v>
      </x:c>
      <x:c r="D196" s="10" t="str">
        <x:v>Zeichennutzungs-Kontroll- und Meldedaten</x:v>
      </x:c>
      <x:c r="E196" s="10" t="str">
        <x:v>Grundlagendokument</x:v>
      </x:c>
      <x:c r="F196" s="10" t="str">
        <x:v>BIOZBW – Programmbestimmungen, Stand 01.01.2026</x:v>
      </x:c>
      <x:c r="G196" s="10" t="str">
        <x:v>https://mbw.imageplant.de/</x:v>
      </x:c>
      <x:c r="H196" s="10" t="e">
        <x:f>HYPERLINK("https://mbw.imageplant.de/","Quelle öffnen")</x:f>
        <x:v>HYPERLINK is not implemented. linkLocation=https://mbw.imageplant.de/, friendlyName=Quelle öffnen</x:v>
      </x:c>
    </x:row>
    <x:row r="197" ht="64.80000305175781" hidden="0" customHeight="1">
      <x:c r="A197" s="10" t="str">
        <x:v>LINK-0196</x:v>
      </x:c>
      <x:c r="B197" s="10" t="n">
        <x:v>54</x:v>
      </x:c>
      <x:c r="C197" s="10" t="str">
        <x:v>Weitere Zertifizierungsprogramme</x:v>
      </x:c>
      <x:c r="D197" s="10" t="str">
        <x:v>Auditnachweise weitere Zertifizierungen</x:v>
      </x:c>
      <x:c r="E197" s="10" t="str">
        <x:v>Grundlagendokument</x:v>
      </x:c>
      <x:c r="F197" s="10" t="str">
        <x:v>IFS Standards</x:v>
      </x:c>
      <x:c r="G197" s="10" t="str">
        <x:v>https://www.ifs-certification.com/</x:v>
      </x:c>
      <x:c r="H197" s="10" t="e">
        <x:f>HYPERLINK("https://www.ifs-certification.com/","Quelle öffnen")</x:f>
        <x:v>HYPERLINK is not implemented. linkLocation=https://www.ifs-certification.com/, friendlyName=Quelle öffnen</x:v>
      </x:c>
    </x:row>
    <x:row r="198" ht="64.80000305175781" hidden="0" customHeight="1">
      <x:c r="A198" s="10" t="str">
        <x:v>LINK-0197</x:v>
      </x:c>
      <x:c r="B198" s="10" t="n">
        <x:v>54</x:v>
      </x:c>
      <x:c r="C198" s="10" t="str">
        <x:v>Weitere Zertifizierungsprogramme</x:v>
      </x:c>
      <x:c r="D198" s="10" t="str">
        <x:v>Auditnachweise weitere Zertifizierungen</x:v>
      </x:c>
      <x:c r="E198" s="10" t="str">
        <x:v>Grundlagendokument</x:v>
      </x:c>
      <x:c r="F198" s="10" t="str">
        <x:v>ECOVIN Bundesverband Ökologischer Weinbau e.V.</x:v>
      </x:c>
      <x:c r="G198" s="10" t="str">
        <x:v>https://www.ecovin.de/</x:v>
      </x:c>
      <x:c r="H198" s="10" t="e">
        <x:f>HYPERLINK("https://www.ecovin.de/","Quelle öffnen")</x:f>
        <x:v>HYPERLINK is not implemented. linkLocation=https://www.ecovin.de/, friendlyName=Quelle öffnen</x:v>
      </x:c>
    </x:row>
    <x:row r="199" ht="64.80000305175781" hidden="0" customHeight="1">
      <x:c r="A199" s="10" t="str">
        <x:v>LINK-0198</x:v>
      </x:c>
      <x:c r="B199" s="10" t="n">
        <x:v>54</x:v>
      </x:c>
      <x:c r="C199" s="10" t="str">
        <x:v>Weitere Zertifizierungsprogramme</x:v>
      </x:c>
      <x:c r="D199" s="10" t="str">
        <x:v>Auditnachweise weitere Zertifizierungen</x:v>
      </x:c>
      <x:c r="E199" s="10" t="str">
        <x:v>Grundlagendokument</x:v>
      </x:c>
      <x:c r="F199" s="10" t="str">
        <x:v>KLIMAWIN</x:v>
      </x:c>
      <x:c r="G199" s="10" t="str">
        <x:v>https://www.klimawin-bw.de/</x:v>
      </x:c>
      <x:c r="H199" s="10" t="e">
        <x:f>HYPERLINK("https://www.klimawin-bw.de/","Quelle öffnen")</x:f>
        <x:v>HYPERLINK is not implemented. linkLocation=https://www.klimawin-bw.de/, friendlyName=Quelle öffnen</x:v>
      </x:c>
    </x:row>
    <x:row r="200" ht="64.80000305175781" hidden="0" customHeight="1">
      <x:c r="A200" s="10" t="str">
        <x:v>LINK-0199</x:v>
      </x:c>
      <x:c r="B200" s="10" t="n">
        <x:v>55</x:v>
      </x:c>
      <x:c r="C200" s="10" t="str">
        <x:v>Weitere Zertifizierungsprogramme</x:v>
      </x:c>
      <x:c r="D200" s="10" t="str">
        <x:v>Auditbericht weitere Zertifizierungen</x:v>
      </x:c>
      <x:c r="E200" s="10" t="str">
        <x:v>Grundlagendokument</x:v>
      </x:c>
      <x:c r="F200" s="10" t="str">
        <x:v>IFS Standards</x:v>
      </x:c>
      <x:c r="G200" s="10" t="str">
        <x:v>https://www.ifs-certification.com/</x:v>
      </x:c>
      <x:c r="H200" s="10" t="e">
        <x:f>HYPERLINK("https://www.ifs-certification.com/","Quelle öffnen")</x:f>
        <x:v>HYPERLINK is not implemented. linkLocation=https://www.ifs-certification.com/, friendlyName=Quelle öffnen</x:v>
      </x:c>
    </x:row>
    <x:row r="201" ht="64.80000305175781" hidden="0" customHeight="1">
      <x:c r="A201" s="10" t="str">
        <x:v>LINK-0200</x:v>
      </x:c>
      <x:c r="B201" s="10" t="n">
        <x:v>55</x:v>
      </x:c>
      <x:c r="C201" s="10" t="str">
        <x:v>Weitere Zertifizierungsprogramme</x:v>
      </x:c>
      <x:c r="D201" s="10" t="str">
        <x:v>Auditbericht weitere Zertifizierungen</x:v>
      </x:c>
      <x:c r="E201" s="10" t="str">
        <x:v>Grundlagendokument</x:v>
      </x:c>
      <x:c r="F201" s="10" t="str">
        <x:v>ECOVIN Bundesverband Ökologischer Weinbau e.V.</x:v>
      </x:c>
      <x:c r="G201" s="10" t="str">
        <x:v>https://www.ecovin.de/</x:v>
      </x:c>
      <x:c r="H201" s="10" t="e">
        <x:f>HYPERLINK("https://www.ecovin.de/","Quelle öffnen")</x:f>
        <x:v>HYPERLINK is not implemented. linkLocation=https://www.ecovin.de/, friendlyName=Quelle öffnen</x:v>
      </x:c>
    </x:row>
    <x:row r="202" ht="64.80000305175781" hidden="0" customHeight="1">
      <x:c r="A202" s="10" t="str">
        <x:v>LINK-0201</x:v>
      </x:c>
      <x:c r="B202" s="10" t="n">
        <x:v>55</x:v>
      </x:c>
      <x:c r="C202" s="10" t="str">
        <x:v>Weitere Zertifizierungsprogramme</x:v>
      </x:c>
      <x:c r="D202" s="10" t="str">
        <x:v>Auditbericht weitere Zertifizierungen</x:v>
      </x:c>
      <x:c r="E202" s="10" t="str">
        <x:v>Grundlagendokument</x:v>
      </x:c>
      <x:c r="F202" s="10" t="str">
        <x:v>KLIMAWIN</x:v>
      </x:c>
      <x:c r="G202" s="10" t="str">
        <x:v>https://www.klimawin-bw.de/</x:v>
      </x:c>
      <x:c r="H202" s="10" t="e">
        <x:f>HYPERLINK("https://www.klimawin-bw.de/","Quelle öffnen")</x:f>
        <x:v>HYPERLINK is not implemented. linkLocation=https://www.klimawin-bw.de/, friendlyName=Quelle öffnen</x:v>
      </x:c>
    </x:row>
    <x:row r="203" ht="86.4000015258789" hidden="0" customHeight="1">
      <x:c r="A203" s="10" t="str">
        <x:v>LINK-0202</x:v>
      </x:c>
      <x:c r="B203" s="10" t="n">
        <x:v>56</x:v>
      </x:c>
      <x:c r="C203" s="10" t="str">
        <x:v>Einreichung und Verwaltung des Gemeinsamen Antrags</x:v>
      </x:c>
      <x:c r="D203" s="10" t="str">
        <x:v>GA-Rückmeldungen</x:v>
      </x:c>
      <x:c r="E203" s="10" t="str">
        <x:v>Grundlagendokument</x:v>
      </x:c>
      <x:c r="F203" s="10" t="str">
        <x:v>Verordnung zur Durchführung des Integrierten Verwaltungs- und Kontrollsystems (GAPInVeKoS-Verordnung - GAPInVeKoSV)</x:v>
      </x:c>
      <x:c r="G203" s="10" t="str">
        <x:v>https://www.gesetze-im-internet.de/gapinvekosv/BJNR635300022.html</x:v>
      </x:c>
      <x:c r="H203" s="10" t="e">
        <x:f>HYPERLINK("https://www.gesetze-im-internet.de/gapinvekosv/BJNR635300022.html","Quelle öffnen")</x:f>
        <x:v>HYPERLINK is not implemented. linkLocation=https://www.gesetze-im-internet.de/gapinvekosv/BJNR635300022.html, friendlyName=Quelle öffnen</x:v>
      </x:c>
    </x:row>
    <x:row r="204" ht="64.80000305175781" hidden="0" customHeight="1">
      <x:c r="A204" s="10" t="str">
        <x:v>LINK-0203</x:v>
      </x:c>
      <x:c r="B204" s="10" t="n">
        <x:v>56</x:v>
      </x:c>
      <x:c r="C204" s="10" t="str">
        <x:v>Einreichung und Verwaltung des Gemeinsamen Antrags</x:v>
      </x:c>
      <x:c r="D204" s="10" t="str">
        <x:v>GA-Rückmeldungen</x:v>
      </x:c>
      <x:c r="E204" s="10" t="str">
        <x:v>Übermittlungsart</x:v>
      </x:c>
      <x:c r="F204" s="10" t="str">
        <x:v>FIONA</x:v>
      </x:c>
      <x:c r="G204" s="10" t="str">
        <x:v>https://fiona.landbw.de/</x:v>
      </x:c>
      <x:c r="H204" s="10" t="e">
        <x:f>HYPERLINK("https://fiona.landbw.de/","Quelle öffnen")</x:f>
        <x:v>HYPERLINK is not implemented. linkLocation=https://fiona.landbw.de/, friendlyName=Quelle öffnen</x:v>
      </x:c>
    </x:row>
    <x:row r="205" ht="75.5999984741211" hidden="0" customHeight="1">
      <x:c r="A205" s="10" t="str">
        <x:v>LINK-0204</x:v>
      </x:c>
      <x:c r="B205" s="10" t="n">
        <x:v>57</x:v>
      </x:c>
      <x:c r="C205" s="10" t="str">
        <x:v>Systemübergreifendes Management und strategische Weiterentwicklung von QZBW/BIOZBW</x:v>
      </x:c>
      <x:c r="D205" s="10" t="str">
        <x:v>Systemmanagementdaten Genossenschaft</x:v>
      </x:c>
      <x:c r="E205" s="10" t="str">
        <x:v>Grundlagendokument</x:v>
      </x:c>
      <x:c r="F205" s="10" t="str">
        <x:v>Qualitätszeichen Baden-Württemberg</x:v>
      </x:c>
      <x:c r="G205" s="10" t="str">
        <x:v>https://www.gemeinschaftsmarketing-bw.de/</x:v>
      </x:c>
      <x:c r="H205" s="10" t="e">
        <x:f>HYPERLINK("https://www.gemeinschaftsmarketing-bw.de/","Quelle öffnen")</x:f>
        <x:v>HYPERLINK is not implemented. linkLocation=https://www.gemeinschaftsmarketing-bw.de/, friendlyName=Quelle öffnen</x:v>
      </x:c>
    </x:row>
    <x:row r="206" ht="64.80000305175781" hidden="0" customHeight="1">
      <x:c r="A206" s="10" t="str">
        <x:v>LINK-0205</x:v>
      </x:c>
      <x:c r="B206" s="10" t="n">
        <x:v>57</x:v>
      </x:c>
      <x:c r="C206" s="10" t="str">
        <x:v>Systemübergreifendes Management und strategische Weiterentwicklung von QZBW/BIOZBW</x:v>
      </x:c>
      <x:c r="D206" s="10" t="str">
        <x:v>Systemmanagementdaten Genossenschaft</x:v>
      </x:c>
      <x:c r="E206" s="10" t="str">
        <x:v>Grundlagendokument</x:v>
      </x:c>
      <x:c r="F206" s="10" t="str">
        <x:v>Biozeichen Baden-Württemberg</x:v>
      </x:c>
      <x:c r="G206" s="10" t="str">
        <x:v>https://www.bio-aus-bw.de/</x:v>
      </x:c>
      <x:c r="H206" s="10" t="e">
        <x:f>HYPERLINK("https://www.bio-aus-bw.de/","Quelle öffnen")</x:f>
        <x:v>HYPERLINK is not implemented. linkLocation=https://www.bio-aus-bw.de/, friendlyName=Quelle öffnen</x:v>
      </x:c>
    </x:row>
    <x:row r="207" ht="86.4000015258789" hidden="0" customHeight="1">
      <x:c r="A207" s="10" t="str">
        <x:v>LINK-0206</x:v>
      </x:c>
      <x:c r="B207" s="10" t="n">
        <x:v>57</x:v>
      </x:c>
      <x:c r="C207" s="10" t="str">
        <x:v>Systemübergreifendes Management und strategische Weiterentwicklung von QZBW/BIOZBW</x:v>
      </x:c>
      <x:c r="D207" s="10" t="str">
        <x:v>Systemmanagementdaten Genossenschaft</x:v>
      </x:c>
      <x:c r="E207" s="10" t="str">
        <x:v>Grundlagendokument</x:v>
      </x:c>
      <x:c r="F207" s="10" t="str">
        <x:v>Mitteilung der Kommission - EU-Leitlinien für eine gute Praxis bei freiwilligen Zertifizierungssystemen für landwirtschaftliche Erzeugnisse und Lebensmittel</x:v>
      </x:c>
      <x:c r="G207" s="10" t="str">
        <x:v>https://eur-lex.europa.eu/legal-content/DE/TXT/?uri=CELEX:52010XC1216(02)</x:v>
      </x:c>
      <x:c r="H207" s="10" t="e">
        <x:f>HYPERLINK("https://eur-lex.europa.eu/legal-content/DE/TXT/?uri=CELEX:52010XC1216(02)","Quelle öffnen")</x:f>
        <x:v>HYPERLINK is not implemented. linkLocation=https://eur-lex.europa.eu/legal-content/DE/TXT/?uri=CELEX:52010XC1216(02), friendlyName=Quelle öffnen</x:v>
      </x:c>
    </x:row>
    <x:row r="208" ht="64.80000305175781" hidden="0" customHeight="1">
      <x:c r="A208" s="10" t="str">
        <x:v>LINK-0207</x:v>
      </x:c>
      <x:c r="B208" s="10" t="n">
        <x:v>58</x:v>
      </x:c>
      <x:c r="C208" s="10" t="str">
        <x:v>Systemübergreifendes Management und strategische Weiterentwicklung von QZBW/BIOZBW</x:v>
      </x:c>
      <x:c r="D208" s="10" t="str">
        <x:v>Systemmanagementdaten Kontrollstelle</x:v>
      </x:c>
      <x:c r="E208" s="10" t="str">
        <x:v>Grundlagendokument</x:v>
      </x:c>
      <x:c r="F208" s="10" t="str">
        <x:v>BIOZBW – Programmbestimmungen, Stand 01.01.2026</x:v>
      </x:c>
      <x:c r="G208" s="10" t="str">
        <x:v>https://mbw.imageplant.de/</x:v>
      </x:c>
      <x:c r="H208" s="10" t="e">
        <x:f>HYPERLINK("https://mbw.imageplant.de/","Quelle öffnen")</x:f>
        <x:v>HYPERLINK is not implemented. linkLocation=https://mbw.imageplant.de/, friendlyName=Quelle öffnen</x:v>
      </x:c>
    </x:row>
    <x:row r="209" ht="75.5999984741211" hidden="0" customHeight="1">
      <x:c r="A209" s="10" t="str">
        <x:v>LINK-0208</x:v>
      </x:c>
      <x:c r="B209" s="10" t="n">
        <x:v>59</x:v>
      </x:c>
      <x:c r="C209" s="10" t="str">
        <x:v>Systemübergreifendes Management und strategische Weiterentwicklung von QZBW/BIOZBW</x:v>
      </x:c>
      <x:c r="D209" s="10" t="str">
        <x:v>Aggregierte Programmdaten</x:v>
      </x:c>
      <x:c r="E209" s="10" t="str">
        <x:v>Grundlagendokument</x:v>
      </x:c>
      <x:c r="F209" s="10" t="str">
        <x:v>Qualitätszeichen Baden-Württemberg</x:v>
      </x:c>
      <x:c r="G209" s="10" t="str">
        <x:v>https://www.gemeinschaftsmarketing-bw.de/</x:v>
      </x:c>
      <x:c r="H209" s="10" t="e">
        <x:f>HYPERLINK("https://www.gemeinschaftsmarketing-bw.de/","Quelle öffnen")</x:f>
        <x:v>HYPERLINK is not implemented. linkLocation=https://www.gemeinschaftsmarketing-bw.de/, friendlyName=Quelle öffnen</x:v>
      </x:c>
    </x:row>
    <x:row r="210" ht="64.80000305175781" hidden="0" customHeight="1">
      <x:c r="A210" s="10" t="str">
        <x:v>LINK-0209</x:v>
      </x:c>
      <x:c r="B210" s="10" t="n">
        <x:v>59</x:v>
      </x:c>
      <x:c r="C210" s="10" t="str">
        <x:v>Systemübergreifendes Management und strategische Weiterentwicklung von QZBW/BIOZBW</x:v>
      </x:c>
      <x:c r="D210" s="10" t="str">
        <x:v>Aggregierte Programmdaten</x:v>
      </x:c>
      <x:c r="E210" s="10" t="str">
        <x:v>Grundlagendokument</x:v>
      </x:c>
      <x:c r="F210" s="10" t="str">
        <x:v>Biozeichen Baden-Württemberg</x:v>
      </x:c>
      <x:c r="G210" s="10" t="str">
        <x:v>https://www.bio-aus-bw.de/</x:v>
      </x:c>
      <x:c r="H210" s="10" t="e">
        <x:f>HYPERLINK("https://www.bio-aus-bw.de/","Quelle öffnen")</x:f>
        <x:v>HYPERLINK is not implemented. linkLocation=https://www.bio-aus-bw.de/, friendlyName=Quelle öffnen</x:v>
      </x:c>
    </x:row>
    <x:row r="211" ht="86.4000015258789" hidden="0" customHeight="1">
      <x:c r="A211" s="10" t="str">
        <x:v>LINK-0210</x:v>
      </x:c>
      <x:c r="B211" s="10" t="n">
        <x:v>59</x:v>
      </x:c>
      <x:c r="C211" s="10" t="str">
        <x:v>Systemübergreifendes Management und strategische Weiterentwicklung von QZBW/BIOZBW</x:v>
      </x:c>
      <x:c r="D211" s="10" t="str">
        <x:v>Aggregierte Programmdaten</x:v>
      </x:c>
      <x:c r="E211" s="10" t="str">
        <x:v>Grundlagendokument</x:v>
      </x:c>
      <x:c r="F211" s="10" t="str">
        <x:v>Mitteilung der Kommission - EU-Leitlinien für eine gute Praxis bei freiwilligen Zertifizierungssystemen für landwirtschaftliche Erzeugnisse und Lebensmittel</x:v>
      </x:c>
      <x:c r="G211" s="10" t="str">
        <x:v>https://eur-lex.europa.eu/legal-content/DE/TXT/?uri=CELEX:52010XC1216(02)</x:v>
      </x:c>
      <x:c r="H211" s="10" t="e">
        <x:f>HYPERLINK("https://eur-lex.europa.eu/legal-content/DE/TXT/?uri=CELEX:52010XC1216(02)","Quelle öffnen")</x:f>
        <x:v>HYPERLINK is not implemented. linkLocation=https://eur-lex.europa.eu/legal-content/DE/TXT/?uri=CELEX:52010XC1216(02), friendlyName=Quelle öffnen</x:v>
      </x:c>
    </x:row>
    <x:row r="212" ht="75.5999984741211" hidden="0" customHeight="1">
      <x:c r="A212" s="10" t="str">
        <x:v>LINK-0211</x:v>
      </x:c>
      <x:c r="B212" s="10" t="n">
        <x:v>60</x:v>
      </x:c>
      <x:c r="C212" s="10" t="str">
        <x:v>Systemübergreifendes Management und strategische Weiterentwicklung von QZBW/BIOZBW</x:v>
      </x:c>
      <x:c r="D212" s="10" t="str">
        <x:v>Strategiedaten QZBW/BIOZBW</x:v>
      </x:c>
      <x:c r="E212" s="10" t="str">
        <x:v>Grundlagendokument</x:v>
      </x:c>
      <x:c r="F212" s="10" t="str">
        <x:v>Qualitätszeichen Baden-Württemberg</x:v>
      </x:c>
      <x:c r="G212" s="10" t="str">
        <x:v>https://www.gemeinschaftsmarketing-bw.de/</x:v>
      </x:c>
      <x:c r="H212" s="10" t="e">
        <x:f>HYPERLINK("https://www.gemeinschaftsmarketing-bw.de/","Quelle öffnen")</x:f>
        <x:v>HYPERLINK is not implemented. linkLocation=https://www.gemeinschaftsmarketing-bw.de/, friendlyName=Quelle öffnen</x:v>
      </x:c>
    </x:row>
    <x:row r="213" ht="64.80000305175781" hidden="0" customHeight="1">
      <x:c r="A213" s="10" t="str">
        <x:v>LINK-0212</x:v>
      </x:c>
      <x:c r="B213" s="10" t="n">
        <x:v>60</x:v>
      </x:c>
      <x:c r="C213" s="10" t="str">
        <x:v>Systemübergreifendes Management und strategische Weiterentwicklung von QZBW/BIOZBW</x:v>
      </x:c>
      <x:c r="D213" s="10" t="str">
        <x:v>Strategiedaten QZBW/BIOZBW</x:v>
      </x:c>
      <x:c r="E213" s="10" t="str">
        <x:v>Grundlagendokument</x:v>
      </x:c>
      <x:c r="F213" s="10" t="str">
        <x:v>Biozeichen Baden-Württemberg</x:v>
      </x:c>
      <x:c r="G213" s="10" t="str">
        <x:v>https://www.bio-aus-bw.de/</x:v>
      </x:c>
      <x:c r="H213" s="10" t="e">
        <x:f>HYPERLINK("https://www.bio-aus-bw.de/","Quelle öffnen")</x:f>
        <x:v>HYPERLINK is not implemented. linkLocation=https://www.bio-aus-bw.de/, friendlyName=Quelle öffnen</x:v>
      </x:c>
    </x:row>
    <x:row r="214" ht="86.4000015258789" hidden="0" customHeight="1">
      <x:c r="A214" s="10" t="str">
        <x:v>LINK-0213</x:v>
      </x:c>
      <x:c r="B214" s="10" t="n">
        <x:v>60</x:v>
      </x:c>
      <x:c r="C214" s="10" t="str">
        <x:v>Systemübergreifendes Management und strategische Weiterentwicklung von QZBW/BIOZBW</x:v>
      </x:c>
      <x:c r="D214" s="10" t="str">
        <x:v>Strategiedaten QZBW/BIOZBW</x:v>
      </x:c>
      <x:c r="E214" s="10" t="str">
        <x:v>Grundlagendokument</x:v>
      </x:c>
      <x:c r="F214" s="10" t="str">
        <x:v>Mitteilung der Kommission - EU-Leitlinien für eine gute Praxis bei freiwilligen Zertifizierungssystemen für landwirtschaftliche Erzeugnisse und Lebensmittel</x:v>
      </x:c>
      <x:c r="G214" s="10" t="str">
        <x:v>https://eur-lex.europa.eu/legal-content/DE/TXT/?uri=CELEX:52010XC1216(02)</x:v>
      </x:c>
      <x:c r="H214" s="10" t="e">
        <x:f>HYPERLINK("https://eur-lex.europa.eu/legal-content/DE/TXT/?uri=CELEX:52010XC1216(02)","Quelle öffnen")</x:f>
        <x:v>HYPERLINK is not implemented. linkLocation=https://eur-lex.europa.eu/legal-content/DE/TXT/?uri=CELEX:52010XC1216(02), friendlyName=Quelle öffnen</x:v>
      </x:c>
    </x:row>
    <x:row r="215" ht="64.80000305175781" hidden="0" customHeight="1">
      <x:c r="A215" s="10" t="str">
        <x:v>LINK-0214</x:v>
      </x:c>
      <x:c r="B215" s="10" t="n">
        <x:v>61</x:v>
      </x:c>
      <x:c r="C215" s="10" t="str">
        <x:v>Systemübergreifendes Management und strategische Weiterentwicklung von QZBW/BIOZBW</x:v>
      </x:c>
      <x:c r="D215" s="10" t="str">
        <x:v>Programmkontrolldaten</x:v>
      </x:c>
      <x:c r="E215" s="10" t="str">
        <x:v>Grundlagendokument</x:v>
      </x:c>
      <x:c r="F215" s="10" t="str">
        <x:v>IFS Standards</x:v>
      </x:c>
      <x:c r="G215" s="10" t="str">
        <x:v>https://www.ifs-certification.com/</x:v>
      </x:c>
      <x:c r="H215" s="10" t="e">
        <x:f>HYPERLINK("https://www.ifs-certification.com/","Quelle öffnen")</x:f>
        <x:v>HYPERLINK is not implemented. linkLocation=https://www.ifs-certification.com/, friendlyName=Quelle öffnen</x:v>
      </x:c>
    </x:row>
    <x:row r="216" ht="64.80000305175781" hidden="0" customHeight="1">
      <x:c r="A216" s="10" t="str">
        <x:v>LINK-0215</x:v>
      </x:c>
      <x:c r="B216" s="10" t="n">
        <x:v>61</x:v>
      </x:c>
      <x:c r="C216" s="10" t="str">
        <x:v>Systemübergreifendes Management und strategische Weiterentwicklung von QZBW/BIOZBW</x:v>
      </x:c>
      <x:c r="D216" s="10" t="str">
        <x:v>Programmkontrolldaten</x:v>
      </x:c>
      <x:c r="E216" s="10" t="str">
        <x:v>Grundlagendokument</x:v>
      </x:c>
      <x:c r="F216" s="10" t="str">
        <x:v>ECOVIN Bundesverband Ökologischer Weinbau e.V.</x:v>
      </x:c>
      <x:c r="G216" s="10" t="str">
        <x:v>https://www.ecovin.de/</x:v>
      </x:c>
      <x:c r="H216" s="10" t="e">
        <x:f>HYPERLINK("https://www.ecovin.de/","Quelle öffnen")</x:f>
        <x:v>HYPERLINK is not implemented. linkLocation=https://www.ecovin.de/, friendlyName=Quelle öffnen</x:v>
      </x:c>
    </x:row>
    <x:row r="217" ht="64.80000305175781" hidden="0" customHeight="1">
      <x:c r="A217" s="10" t="str">
        <x:v>LINK-0216</x:v>
      </x:c>
      <x:c r="B217" s="10" t="n">
        <x:v>61</x:v>
      </x:c>
      <x:c r="C217" s="10" t="str">
        <x:v>Systemübergreifendes Management und strategische Weiterentwicklung von QZBW/BIOZBW</x:v>
      </x:c>
      <x:c r="D217" s="10" t="str">
        <x:v>Programmkontrolldaten</x:v>
      </x:c>
      <x:c r="E217" s="10" t="str">
        <x:v>Grundlagendokument</x:v>
      </x:c>
      <x:c r="F217" s="10" t="str">
        <x:v>KLIMAWIN</x:v>
      </x:c>
      <x:c r="G217" s="10" t="str">
        <x:v>https://www.klimawin-bw.de/</x:v>
      </x:c>
      <x:c r="H217" s="10" t="e">
        <x:f>HYPERLINK("https://www.klimawin-bw.de/","Quelle öffnen")</x:f>
        <x:v>HYPERLINK is not implemented. linkLocation=https://www.klimawin-bw.de/, friendlyName=Quelle öffnen</x:v>
      </x:c>
    </x:row>
    <x:row r="218" ht="64.80000305175781" hidden="0" customHeight="1">
      <x:c r="A218" s="10" t="str">
        <x:v>LINK-0217</x:v>
      </x:c>
      <x:c r="B218" s="10" t="n">
        <x:v>62</x:v>
      </x:c>
      <x:c r="C218" s="10" t="str">
        <x:v>Systemübergreifendes Management und strategische Weiterentwicklung von QZBW/BIOZBW</x:v>
      </x:c>
      <x:c r="D218" s="10" t="str">
        <x:v>Programmteilnahmedaten</x:v>
      </x:c>
      <x:c r="E218" s="10" t="str">
        <x:v>Grundlagendokument</x:v>
      </x:c>
      <x:c r="F218" s="10" t="str">
        <x:v>IFS Standards</x:v>
      </x:c>
      <x:c r="G218" s="10" t="str">
        <x:v>https://www.ifs-certification.com/</x:v>
      </x:c>
      <x:c r="H218" s="10" t="e">
        <x:f>HYPERLINK("https://www.ifs-certification.com/","Quelle öffnen")</x:f>
        <x:v>HYPERLINK is not implemented. linkLocation=https://www.ifs-certification.com/, friendlyName=Quelle öffnen</x:v>
      </x:c>
    </x:row>
    <x:row r="219" ht="64.80000305175781" hidden="0" customHeight="1">
      <x:c r="A219" s="10" t="str">
        <x:v>LINK-0218</x:v>
      </x:c>
      <x:c r="B219" s="10" t="n">
        <x:v>62</x:v>
      </x:c>
      <x:c r="C219" s="10" t="str">
        <x:v>Systemübergreifendes Management und strategische Weiterentwicklung von QZBW/BIOZBW</x:v>
      </x:c>
      <x:c r="D219" s="10" t="str">
        <x:v>Programmteilnahmedaten</x:v>
      </x:c>
      <x:c r="E219" s="10" t="str">
        <x:v>Grundlagendokument</x:v>
      </x:c>
      <x:c r="F219" s="10" t="str">
        <x:v>ECOVIN Bundesverband Ökologischer Weinbau e.V.</x:v>
      </x:c>
      <x:c r="G219" s="10" t="str">
        <x:v>https://www.ecovin.de/</x:v>
      </x:c>
      <x:c r="H219" s="10" t="e">
        <x:f>HYPERLINK("https://www.ecovin.de/","Quelle öffnen")</x:f>
        <x:v>HYPERLINK is not implemented. linkLocation=https://www.ecovin.de/, friendlyName=Quelle öffnen</x:v>
      </x:c>
    </x:row>
    <x:row r="220" ht="64.80000305175781" hidden="0" customHeight="1">
      <x:c r="A220" s="10" t="str">
        <x:v>LINK-0219</x:v>
      </x:c>
      <x:c r="B220" s="10" t="n">
        <x:v>62</x:v>
      </x:c>
      <x:c r="C220" s="10" t="str">
        <x:v>Systemübergreifendes Management und strategische Weiterentwicklung von QZBW/BIOZBW</x:v>
      </x:c>
      <x:c r="D220" s="10" t="str">
        <x:v>Programmteilnahmedaten</x:v>
      </x:c>
      <x:c r="E220" s="10" t="str">
        <x:v>Grundlagendokument</x:v>
      </x:c>
      <x:c r="F220" s="10" t="str">
        <x:v>KLIMAWIN</x:v>
      </x:c>
      <x:c r="G220" s="10" t="str">
        <x:v>https://www.klimawin-bw.de/</x:v>
      </x:c>
      <x:c r="H220" s="10" t="e">
        <x:f>HYPERLINK("https://www.klimawin-bw.de/","Quelle öffnen")</x:f>
        <x:v>HYPERLINK is not implemented. linkLocation=https://www.klimawin-bw.de/, friendlyName=Quelle öffnen</x:v>
      </x:c>
    </x:row>
    <x:row r="221" ht="75.5999984741211" hidden="0" customHeight="1">
      <x:c r="A221" s="10" t="str">
        <x:v>LINK-0220</x:v>
      </x:c>
      <x:c r="B221" s="10" t="n">
        <x:v>63</x:v>
      </x:c>
      <x:c r="C221" s="10" t="str">
        <x:v>Aufsicht über EU-Öko-Zertifizierung</x:v>
      </x:c>
      <x:c r="D221" s="10" t="str">
        <x:v>Öko-Kontrollergebnisse</x:v>
      </x:c>
      <x:c r="E221" s="10" t="str">
        <x:v>Grundlagendokument</x:v>
      </x:c>
      <x:c r="F221" s="10" t="str">
        <x:v>Verordnung (EU) 2018/848 des Europäischen Parlaments und des Rates vom 30. Mai 2018 über die ökologische/biologische Produktion und die Kennzeichnung von ökologischen/biologischen Erzeugnissen sowie zur Aufhebung der Verordnung (EG) Nr. 834/2007 des Rates</x:v>
      </x:c>
      <x:c r="G221" s="10" t="str">
        <x:v>https://eur-lex.europa.eu/eli/reg/2018/848/oj?locale=de</x:v>
      </x:c>
      <x:c r="H221" s="10" t="e">
        <x:f>HYPERLINK("https://eur-lex.europa.eu/eli/reg/2018/848/oj?locale=de","Quelle öffnen")</x:f>
        <x:v>HYPERLINK is not implemented. linkLocation=https://eur-lex.europa.eu/eli/reg/2018/848/oj?locale=de, friendlyName=Quelle öffnen</x:v>
      </x:c>
    </x:row>
    <x:row r="222" ht="108" hidden="0" customHeight="1">
      <x:c r="A222" s="10" t="str">
        <x:v>LINK-0221</x:v>
      </x:c>
      <x:c r="B222" s="10" t="n">
        <x:v>63</x:v>
      </x:c>
      <x:c r="C222" s="10" t="str">
        <x:v>Aufsicht über EU-Öko-Zertifizierung</x:v>
      </x:c>
      <x:c r="D222" s="10" t="str">
        <x:v>Öko-Kontrollergebnisse</x:v>
      </x:c>
      <x:c r="E222" s="10" t="str">
        <x:v>Übermittlungsart</x:v>
      </x:c>
      <x:c r="F222" s="10" t="str">
        <x:v>Online-Angebot</x:v>
      </x:c>
      <x:c r="G222" s="10" t="str">
        <x:v>https://www.ble.de/DE/Themen/Landwirtschaft/Oekologischer-Landbau/Kontrollstellen/kontrollstellen_node.html</x:v>
      </x:c>
      <x:c r="H222" s="10" t="e">
        <x:f>HYPERLINK("https://www.ble.de/DE/Themen/Landwirtschaft/Oekologischer-Landbau/Kontrollstellen/kontrollstellen_node.html","Quelle öffnen")</x:f>
        <x:v>HYPERLINK is not implemented. linkLocation=https://www.ble.de/DE/Themen/Landwirtschaft/Oekologischer-Landbau/Kontrollstellen/kontrollstellen_node.html, friendlyName=Quelle öffnen</x:v>
      </x:c>
    </x:row>
    <x:row r="223" ht="75.5999984741211" hidden="0" customHeight="1">
      <x:c r="A223" s="10" t="str">
        <x:v>LINK-0222</x:v>
      </x:c>
      <x:c r="B223" s="10" t="n">
        <x:v>64</x:v>
      </x:c>
      <x:c r="C223" s="10" t="str">
        <x:v>Aufsicht über EU-Öko-Zertifizierung</x:v>
      </x:c>
      <x:c r="D223" s="10" t="str">
        <x:v>Öko-Kontrollunterlagen</x:v>
      </x:c>
      <x:c r="E223" s="10" t="str">
        <x:v>Grundlagendokument</x:v>
      </x:c>
      <x:c r="F223" s="10" t="str">
        <x:v>Verordnung (EU) 2018/848 des Europäischen Parlaments und des Rates vom 30. Mai 2018 über die ökologische/biologische Produktion und die Kennzeichnung von ökologischen/biologischen Erzeugnissen sowie zur Aufhebung der Verordnung (EG) Nr. 834/2007 des Rates</x:v>
      </x:c>
      <x:c r="G223" s="10" t="str">
        <x:v>https://eur-lex.europa.eu/eli/reg/2018/848/oj?locale=de</x:v>
      </x:c>
      <x:c r="H223" s="10" t="e">
        <x:f>HYPERLINK("https://eur-lex.europa.eu/eli/reg/2018/848/oj?locale=de","Quelle öffnen")</x:f>
        <x:v>HYPERLINK is not implemented. linkLocation=https://eur-lex.europa.eu/eli/reg/2018/848/oj?locale=de, friendlyName=Quelle öffnen</x:v>
      </x:c>
    </x:row>
    <x:row r="224" ht="64.80000305175781" hidden="0" customHeight="1">
      <x:c r="A224" s="10" t="str">
        <x:v>LINK-0223</x:v>
      </x:c>
      <x:c r="B224" s="10" t="n">
        <x:v>65</x:v>
      </x:c>
      <x:c r="C224" s="10" t="str">
        <x:v>QZBW-/BIOZBW-Gruppenzertifizierung (GZ) und Qualitätsmanagementsystem (QMS)</x:v>
      </x:c>
      <x:c r="D224" s="10" t="str">
        <x:v>QMS-Mitgliederregister</x:v>
      </x:c>
      <x:c r="E224" s="10" t="str">
        <x:v>Grundlagendokument</x:v>
      </x:c>
      <x:c r="F224" s="10" t="str">
        <x:v>QZBW – Anforderungen an Erzeugergruppen, Stand 01.01.2023</x:v>
      </x:c>
      <x:c r="G224" s="10" t="str">
        <x:v>https://mbw.imageplant.de/</x:v>
      </x:c>
      <x:c r="H224" s="10" t="e">
        <x:f>HYPERLINK("https://mbw.imageplant.de/","Quelle öffnen")</x:f>
        <x:v>HYPERLINK is not implemented. linkLocation=https://mbw.imageplant.de/, friendlyName=Quelle öffnen</x:v>
      </x:c>
    </x:row>
    <x:row r="225" ht="64.80000305175781" hidden="0" customHeight="1">
      <x:c r="A225" s="10" t="str">
        <x:v>LINK-0224</x:v>
      </x:c>
      <x:c r="B225" s="10" t="n">
        <x:v>65</x:v>
      </x:c>
      <x:c r="C225" s="10" t="str">
        <x:v>QZBW-/BIOZBW-Gruppenzertifizierung (GZ) und Qualitätsmanagementsystem (QMS)</x:v>
      </x:c>
      <x:c r="D225" s="10" t="str">
        <x:v>QMS-Mitgliederregister</x:v>
      </x:c>
      <x:c r="E225" s="10" t="str">
        <x:v>Grundlagendokument</x:v>
      </x:c>
      <x:c r="F225" s="10" t="str">
        <x:v>QZBW – Teilnahmevereinbarung Gruppenzertifizierung, Stand 2023</x:v>
      </x:c>
      <x:c r="G225" s="10" t="str">
        <x:v>https://mbw.imageplant.de/</x:v>
      </x:c>
      <x:c r="H225" s="10" t="e">
        <x:f>HYPERLINK("https://mbw.imageplant.de/","Quelle öffnen")</x:f>
        <x:v>HYPERLINK is not implemented. linkLocation=https://mbw.imageplant.de/, friendlyName=Quelle öffnen</x:v>
      </x:c>
    </x:row>
    <x:row r="226" ht="64.80000305175781" hidden="0" customHeight="1">
      <x:c r="A226" s="10" t="str">
        <x:v>LINK-0225</x:v>
      </x:c>
      <x:c r="B226" s="10" t="n">
        <x:v>65</x:v>
      </x:c>
      <x:c r="C226" s="10" t="str">
        <x:v>QZBW-/BIOZBW-Gruppenzertifizierung (GZ) und Qualitätsmanagementsystem (QMS)</x:v>
      </x:c>
      <x:c r="D226" s="10" t="str">
        <x:v>QMS-Mitgliederregister</x:v>
      </x:c>
      <x:c r="E226" s="10" t="str">
        <x:v>Grundlagendokument</x:v>
      </x:c>
      <x:c r="F226" s="10" t="str">
        <x:v>BIOZBW – Programmbestimmungen, Stand 01.01.2026</x:v>
      </x:c>
      <x:c r="G226" s="10" t="str">
        <x:v>https://mbw.imageplant.de/</x:v>
      </x:c>
      <x:c r="H226" s="10" t="e">
        <x:f>HYPERLINK("https://mbw.imageplant.de/","Quelle öffnen")</x:f>
        <x:v>HYPERLINK is not implemented. linkLocation=https://mbw.imageplant.de/, friendlyName=Quelle öffnen</x:v>
      </x:c>
    </x:row>
    <x:row r="227" ht="75.5999984741211" hidden="0" customHeight="1">
      <x:c r="A227" s="10" t="str">
        <x:v>LINK-0226</x:v>
      </x:c>
      <x:c r="B227" s="10" t="n">
        <x:v>65</x:v>
      </x:c>
      <x:c r="C227" s="10" t="str">
        <x:v>QZBW-/BIOZBW-Gruppenzertifizierung (GZ) und Qualitätsmanagementsystem (QMS)</x:v>
      </x:c>
      <x:c r="D227" s="10" t="str">
        <x:v>QMS-Mitgliederregister</x:v>
      </x:c>
      <x:c r="E227" s="10" t="str">
        <x:v>Grundlagendokument</x:v>
      </x:c>
      <x:c r="F227" s="10" t="str">
        <x:v>Verordnung (EU) 2018/848</x:v>
      </x:c>
      <x:c r="G227" s="10" t="str">
        <x:v>https://eur-lex.europa.eu/eli/reg/2018/848/oj?locale=de</x:v>
      </x:c>
      <x:c r="H227" s="10" t="e">
        <x:f>HYPERLINK("https://eur-lex.europa.eu/eli/reg/2018/848/oj?locale=de","Quelle öffnen")</x:f>
        <x:v>HYPERLINK is not implemented. linkLocation=https://eur-lex.europa.eu/eli/reg/2018/848/oj?locale=de, friendlyName=Quelle öffnen</x:v>
      </x:c>
    </x:row>
    <x:row r="228" ht="86.4000015258789" hidden="0" customHeight="1">
      <x:c r="A228" s="10" t="str">
        <x:v>LINK-0227</x:v>
      </x:c>
      <x:c r="B228" s="10" t="n">
        <x:v>65</x:v>
      </x:c>
      <x:c r="C228" s="10" t="str">
        <x:v>QZBW-/BIOZBW-Gruppenzertifizierung (GZ) und Qualitätsmanagementsystem (QMS)</x:v>
      </x:c>
      <x:c r="D228" s="10" t="str">
        <x:v>QMS-Mitgliederregister</x:v>
      </x:c>
      <x:c r="E228" s="10" t="str">
        <x:v>Grundlagendokument</x:v>
      </x:c>
      <x:c r="F228" s="10" t="str">
        <x:v>Delegierte Verordnung (EU) 2021/715</x:v>
      </x:c>
      <x:c r="G228" s="10" t="str">
        <x:v>https://eur-lex.europa.eu/legal-content/DE/ALL/?uri=CELEX:32021R0715</x:v>
      </x:c>
      <x:c r="H228" s="10" t="e">
        <x:f>HYPERLINK("https://eur-lex.europa.eu/legal-content/DE/ALL/?uri=CELEX:32021R0715","Quelle öffnen")</x:f>
        <x:v>HYPERLINK is not implemented. linkLocation=https://eur-lex.europa.eu/legal-content/DE/ALL/?uri=CELEX:32021R0715, friendlyName=Quelle öffnen</x:v>
      </x:c>
    </x:row>
    <x:row r="229" ht="86.4000015258789" hidden="0" customHeight="1">
      <x:c r="A229" s="10" t="str">
        <x:v>LINK-0228</x:v>
      </x:c>
      <x:c r="B229" s="10" t="n">
        <x:v>65</x:v>
      </x:c>
      <x:c r="C229" s="10" t="str">
        <x:v>QZBW-/BIOZBW-Gruppenzertifizierung (GZ) und Qualitätsmanagementsystem (QMS)</x:v>
      </x:c>
      <x:c r="D229" s="10" t="str">
        <x:v>QMS-Mitgliederregister</x:v>
      </x:c>
      <x:c r="E229" s="10" t="str">
        <x:v>Grundlagendokument</x:v>
      </x:c>
      <x:c r="F229" s="10" t="str">
        <x:v>Durchführungsverordnung (EU) 2021/279</x:v>
      </x:c>
      <x:c r="G229" s="10" t="str">
        <x:v>https://eur-lex.europa.eu/legal-content/DE/ALL/?uri=CELEX:32021R0279</x:v>
      </x:c>
      <x:c r="H229" s="10" t="e">
        <x:f>HYPERLINK("https://eur-lex.europa.eu/legal-content/DE/ALL/?uri=CELEX:32021R0279","Quelle öffnen")</x:f>
        <x:v>HYPERLINK is not implemented. linkLocation=https://eur-lex.europa.eu/legal-content/DE/ALL/?uri=CELEX:32021R0279, friendlyName=Quelle öffnen</x:v>
      </x:c>
    </x:row>
    <x:row r="230" ht="64.80000305175781" hidden="0" customHeight="1">
      <x:c r="A230" s="10" t="str">
        <x:v>LINK-0229</x:v>
      </x:c>
      <x:c r="B230" s="10" t="n">
        <x:v>66</x:v>
      </x:c>
      <x:c r="C230" s="10" t="str">
        <x:v>QZBW-/BIOZBW-Gruppenzertifizierung (GZ) und Qualitätsmanagementsystem (QMS)</x:v>
      </x:c>
      <x:c r="D230" s="10" t="str">
        <x:v>QMS-Qualifikations- und Schulungsnachweise</x:v>
      </x:c>
      <x:c r="E230" s="10" t="str">
        <x:v>Grundlagendokument</x:v>
      </x:c>
      <x:c r="F230" s="10" t="str">
        <x:v>QZBW – Anforderungen an Erzeugergruppen, Stand 01.01.2023</x:v>
      </x:c>
      <x:c r="G230" s="10" t="str">
        <x:v>https://mbw.imageplant.de/</x:v>
      </x:c>
      <x:c r="H230" s="10" t="e">
        <x:f>HYPERLINK("https://mbw.imageplant.de/","Quelle öffnen")</x:f>
        <x:v>HYPERLINK is not implemented. linkLocation=https://mbw.imageplant.de/, friendlyName=Quelle öffnen</x:v>
      </x:c>
    </x:row>
    <x:row r="231" ht="64.80000305175781" hidden="0" customHeight="1">
      <x:c r="A231" s="10" t="str">
        <x:v>LINK-0230</x:v>
      </x:c>
      <x:c r="B231" s="10" t="n">
        <x:v>66</x:v>
      </x:c>
      <x:c r="C231" s="10" t="str">
        <x:v>QZBW-/BIOZBW-Gruppenzertifizierung (GZ) und Qualitätsmanagementsystem (QMS)</x:v>
      </x:c>
      <x:c r="D231" s="10" t="str">
        <x:v>QMS-Qualifikations- und Schulungsnachweise</x:v>
      </x:c>
      <x:c r="E231" s="10" t="str">
        <x:v>Grundlagendokument</x:v>
      </x:c>
      <x:c r="F231" s="10" t="str">
        <x:v>QZBW – Teilnahmevereinbarung Gruppenzertifizierung, Stand 2023</x:v>
      </x:c>
      <x:c r="G231" s="10" t="str">
        <x:v>https://mbw.imageplant.de/</x:v>
      </x:c>
      <x:c r="H231" s="10" t="e">
        <x:f>HYPERLINK("https://mbw.imageplant.de/","Quelle öffnen")</x:f>
        <x:v>HYPERLINK is not implemented. linkLocation=https://mbw.imageplant.de/, friendlyName=Quelle öffnen</x:v>
      </x:c>
    </x:row>
    <x:row r="232" ht="64.80000305175781" hidden="0" customHeight="1">
      <x:c r="A232" s="10" t="str">
        <x:v>LINK-0231</x:v>
      </x:c>
      <x:c r="B232" s="10" t="n">
        <x:v>66</x:v>
      </x:c>
      <x:c r="C232" s="10" t="str">
        <x:v>QZBW-/BIOZBW-Gruppenzertifizierung (GZ) und Qualitätsmanagementsystem (QMS)</x:v>
      </x:c>
      <x:c r="D232" s="10" t="str">
        <x:v>QMS-Qualifikations- und Schulungsnachweise</x:v>
      </x:c>
      <x:c r="E232" s="10" t="str">
        <x:v>Grundlagendokument</x:v>
      </x:c>
      <x:c r="F232" s="10" t="str">
        <x:v>BIOZBW – Programmbestimmungen, Stand 01.01.2026</x:v>
      </x:c>
      <x:c r="G232" s="10" t="str">
        <x:v>https://mbw.imageplant.de/</x:v>
      </x:c>
      <x:c r="H232" s="10" t="e">
        <x:f>HYPERLINK("https://mbw.imageplant.de/","Quelle öffnen")</x:f>
        <x:v>HYPERLINK is not implemented. linkLocation=https://mbw.imageplant.de/, friendlyName=Quelle öffnen</x:v>
      </x:c>
    </x:row>
    <x:row r="233" ht="75.5999984741211" hidden="0" customHeight="1">
      <x:c r="A233" s="10" t="str">
        <x:v>LINK-0232</x:v>
      </x:c>
      <x:c r="B233" s="10" t="n">
        <x:v>66</x:v>
      </x:c>
      <x:c r="C233" s="10" t="str">
        <x:v>QZBW-/BIOZBW-Gruppenzertifizierung (GZ) und Qualitätsmanagementsystem (QMS)</x:v>
      </x:c>
      <x:c r="D233" s="10" t="str">
        <x:v>QMS-Qualifikations- und Schulungsnachweise</x:v>
      </x:c>
      <x:c r="E233" s="10" t="str">
        <x:v>Grundlagendokument</x:v>
      </x:c>
      <x:c r="F233" s="10" t="str">
        <x:v>Verordnung (EU) 2018/848</x:v>
      </x:c>
      <x:c r="G233" s="10" t="str">
        <x:v>https://eur-lex.europa.eu/eli/reg/2018/848/oj?locale=de</x:v>
      </x:c>
      <x:c r="H233" s="10" t="e">
        <x:f>HYPERLINK("https://eur-lex.europa.eu/eli/reg/2018/848/oj?locale=de","Quelle öffnen")</x:f>
        <x:v>HYPERLINK is not implemented. linkLocation=https://eur-lex.europa.eu/eli/reg/2018/848/oj?locale=de, friendlyName=Quelle öffnen</x:v>
      </x:c>
    </x:row>
    <x:row r="234" ht="86.4000015258789" hidden="0" customHeight="1">
      <x:c r="A234" s="10" t="str">
        <x:v>LINK-0233</x:v>
      </x:c>
      <x:c r="B234" s="10" t="n">
        <x:v>66</x:v>
      </x:c>
      <x:c r="C234" s="10" t="str">
        <x:v>QZBW-/BIOZBW-Gruppenzertifizierung (GZ) und Qualitätsmanagementsystem (QMS)</x:v>
      </x:c>
      <x:c r="D234" s="10" t="str">
        <x:v>QMS-Qualifikations- und Schulungsnachweise</x:v>
      </x:c>
      <x:c r="E234" s="10" t="str">
        <x:v>Grundlagendokument</x:v>
      </x:c>
      <x:c r="F234" s="10" t="str">
        <x:v>Delegierte Verordnung (EU) 2021/715</x:v>
      </x:c>
      <x:c r="G234" s="10" t="str">
        <x:v>https://eur-lex.europa.eu/legal-content/DE/ALL/?uri=CELEX:32021R0715</x:v>
      </x:c>
      <x:c r="H234" s="10" t="e">
        <x:f>HYPERLINK("https://eur-lex.europa.eu/legal-content/DE/ALL/?uri=CELEX:32021R0715","Quelle öffnen")</x:f>
        <x:v>HYPERLINK is not implemented. linkLocation=https://eur-lex.europa.eu/legal-content/DE/ALL/?uri=CELEX:32021R0715, friendlyName=Quelle öffnen</x:v>
      </x:c>
    </x:row>
    <x:row r="235" ht="86.4000015258789" hidden="0" customHeight="1">
      <x:c r="A235" s="10" t="str">
        <x:v>LINK-0234</x:v>
      </x:c>
      <x:c r="B235" s="10" t="n">
        <x:v>66</x:v>
      </x:c>
      <x:c r="C235" s="10" t="str">
        <x:v>QZBW-/BIOZBW-Gruppenzertifizierung (GZ) und Qualitätsmanagementsystem (QMS)</x:v>
      </x:c>
      <x:c r="D235" s="10" t="str">
        <x:v>QMS-Qualifikations- und Schulungsnachweise</x:v>
      </x:c>
      <x:c r="E235" s="10" t="str">
        <x:v>Grundlagendokument</x:v>
      </x:c>
      <x:c r="F235" s="10" t="str">
        <x:v>Durchführungsverordnung (EU) 2021/279</x:v>
      </x:c>
      <x:c r="G235" s="10" t="str">
        <x:v>https://eur-lex.europa.eu/legal-content/DE/ALL/?uri=CELEX:32021R0279</x:v>
      </x:c>
      <x:c r="H235" s="10" t="e">
        <x:f>HYPERLINK("https://eur-lex.europa.eu/legal-content/DE/ALL/?uri=CELEX:32021R0279","Quelle öffnen")</x:f>
        <x:v>HYPERLINK is not implemented. linkLocation=https://eur-lex.europa.eu/legal-content/DE/ALL/?uri=CELEX:32021R0279, friendlyName=Quelle öffnen</x:v>
      </x:c>
    </x:row>
    <x:row r="236" ht="64.80000305175781" hidden="0" customHeight="1">
      <x:c r="A236" s="10" t="str">
        <x:v>LINK-0235</x:v>
      </x:c>
      <x:c r="B236" s="10" t="n">
        <x:v>67</x:v>
      </x:c>
      <x:c r="C236" s="10" t="str">
        <x:v>QZBW-/BIOZBW-Gruppenzertifizierung (GZ) und Qualitätsmanagementsystem (QMS)</x:v>
      </x:c>
      <x:c r="D236" s="10" t="str">
        <x:v>QMS-Kontrollplan</x:v>
      </x:c>
      <x:c r="E236" s="10" t="str">
        <x:v>Grundlagendokument</x:v>
      </x:c>
      <x:c r="F236" s="10" t="str">
        <x:v>QZBW – Anforderungen an Erzeugergruppen, Stand 01.01.2023</x:v>
      </x:c>
      <x:c r="G236" s="10" t="str">
        <x:v>https://mbw.imageplant.de/</x:v>
      </x:c>
      <x:c r="H236" s="10" t="e">
        <x:f>HYPERLINK("https://mbw.imageplant.de/","Quelle öffnen")</x:f>
        <x:v>HYPERLINK is not implemented. linkLocation=https://mbw.imageplant.de/, friendlyName=Quelle öffnen</x:v>
      </x:c>
    </x:row>
    <x:row r="237" ht="64.80000305175781" hidden="0" customHeight="1">
      <x:c r="A237" s="10" t="str">
        <x:v>LINK-0236</x:v>
      </x:c>
      <x:c r="B237" s="10" t="n">
        <x:v>67</x:v>
      </x:c>
      <x:c r="C237" s="10" t="str">
        <x:v>QZBW-/BIOZBW-Gruppenzertifizierung (GZ) und Qualitätsmanagementsystem (QMS)</x:v>
      </x:c>
      <x:c r="D237" s="10" t="str">
        <x:v>QMS-Kontrollplan</x:v>
      </x:c>
      <x:c r="E237" s="10" t="str">
        <x:v>Grundlagendokument</x:v>
      </x:c>
      <x:c r="F237" s="10" t="str">
        <x:v>QZBW – Teilnahmevereinbarung Gruppenzertifizierung, Stand 2023</x:v>
      </x:c>
      <x:c r="G237" s="10" t="str">
        <x:v>https://mbw.imageplant.de/</x:v>
      </x:c>
      <x:c r="H237" s="10" t="e">
        <x:f>HYPERLINK("https://mbw.imageplant.de/","Quelle öffnen")</x:f>
        <x:v>HYPERLINK is not implemented. linkLocation=https://mbw.imageplant.de/, friendlyName=Quelle öffnen</x:v>
      </x:c>
    </x:row>
    <x:row r="238" ht="64.80000305175781" hidden="0" customHeight="1">
      <x:c r="A238" s="10" t="str">
        <x:v>LINK-0237</x:v>
      </x:c>
      <x:c r="B238" s="10" t="n">
        <x:v>67</x:v>
      </x:c>
      <x:c r="C238" s="10" t="str">
        <x:v>QZBW-/BIOZBW-Gruppenzertifizierung (GZ) und Qualitätsmanagementsystem (QMS)</x:v>
      </x:c>
      <x:c r="D238" s="10" t="str">
        <x:v>QMS-Kontrollplan</x:v>
      </x:c>
      <x:c r="E238" s="10" t="str">
        <x:v>Grundlagendokument</x:v>
      </x:c>
      <x:c r="F238" s="10" t="str">
        <x:v>BIOZBW – Programmbestimmungen, Stand 01.01.2026</x:v>
      </x:c>
      <x:c r="G238" s="10" t="str">
        <x:v>https://mbw.imageplant.de/</x:v>
      </x:c>
      <x:c r="H238" s="10" t="e">
        <x:f>HYPERLINK("https://mbw.imageplant.de/","Quelle öffnen")</x:f>
        <x:v>HYPERLINK is not implemented. linkLocation=https://mbw.imageplant.de/, friendlyName=Quelle öffnen</x:v>
      </x:c>
    </x:row>
    <x:row r="239" ht="75.5999984741211" hidden="0" customHeight="1">
      <x:c r="A239" s="10" t="str">
        <x:v>LINK-0238</x:v>
      </x:c>
      <x:c r="B239" s="10" t="n">
        <x:v>67</x:v>
      </x:c>
      <x:c r="C239" s="10" t="str">
        <x:v>QZBW-/BIOZBW-Gruppenzertifizierung (GZ) und Qualitätsmanagementsystem (QMS)</x:v>
      </x:c>
      <x:c r="D239" s="10" t="str">
        <x:v>QMS-Kontrollplan</x:v>
      </x:c>
      <x:c r="E239" s="10" t="str">
        <x:v>Grundlagendokument</x:v>
      </x:c>
      <x:c r="F239" s="10" t="str">
        <x:v>Verordnung (EU) 2018/848</x:v>
      </x:c>
      <x:c r="G239" s="10" t="str">
        <x:v>https://eur-lex.europa.eu/eli/reg/2018/848/oj?locale=de</x:v>
      </x:c>
      <x:c r="H239" s="10" t="e">
        <x:f>HYPERLINK("https://eur-lex.europa.eu/eli/reg/2018/848/oj?locale=de","Quelle öffnen")</x:f>
        <x:v>HYPERLINK is not implemented. linkLocation=https://eur-lex.europa.eu/eli/reg/2018/848/oj?locale=de, friendlyName=Quelle öffnen</x:v>
      </x:c>
    </x:row>
    <x:row r="240" ht="86.4000015258789" hidden="0" customHeight="1">
      <x:c r="A240" s="10" t="str">
        <x:v>LINK-0239</x:v>
      </x:c>
      <x:c r="B240" s="10" t="n">
        <x:v>67</x:v>
      </x:c>
      <x:c r="C240" s="10" t="str">
        <x:v>QZBW-/BIOZBW-Gruppenzertifizierung (GZ) und Qualitätsmanagementsystem (QMS)</x:v>
      </x:c>
      <x:c r="D240" s="10" t="str">
        <x:v>QMS-Kontrollplan</x:v>
      </x:c>
      <x:c r="E240" s="10" t="str">
        <x:v>Grundlagendokument</x:v>
      </x:c>
      <x:c r="F240" s="10" t="str">
        <x:v>Delegierte Verordnung (EU) 2021/715</x:v>
      </x:c>
      <x:c r="G240" s="10" t="str">
        <x:v>https://eur-lex.europa.eu/legal-content/DE/ALL/?uri=CELEX:32021R0715</x:v>
      </x:c>
      <x:c r="H240" s="10" t="e">
        <x:f>HYPERLINK("https://eur-lex.europa.eu/legal-content/DE/ALL/?uri=CELEX:32021R0715","Quelle öffnen")</x:f>
        <x:v>HYPERLINK is not implemented. linkLocation=https://eur-lex.europa.eu/legal-content/DE/ALL/?uri=CELEX:32021R0715, friendlyName=Quelle öffnen</x:v>
      </x:c>
    </x:row>
    <x:row r="241" ht="86.4000015258789" hidden="0" customHeight="1">
      <x:c r="A241" s="10" t="str">
        <x:v>LINK-0240</x:v>
      </x:c>
      <x:c r="B241" s="10" t="n">
        <x:v>67</x:v>
      </x:c>
      <x:c r="C241" s="10" t="str">
        <x:v>QZBW-/BIOZBW-Gruppenzertifizierung (GZ) und Qualitätsmanagementsystem (QMS)</x:v>
      </x:c>
      <x:c r="D241" s="10" t="str">
        <x:v>QMS-Kontrollplan</x:v>
      </x:c>
      <x:c r="E241" s="10" t="str">
        <x:v>Grundlagendokument</x:v>
      </x:c>
      <x:c r="F241" s="10" t="str">
        <x:v>Durchführungsverordnung (EU) 2021/279</x:v>
      </x:c>
      <x:c r="G241" s="10" t="str">
        <x:v>https://eur-lex.europa.eu/legal-content/DE/ALL/?uri=CELEX:32021R0279</x:v>
      </x:c>
      <x:c r="H241" s="10" t="e">
        <x:f>HYPERLINK("https://eur-lex.europa.eu/legal-content/DE/ALL/?uri=CELEX:32021R0279","Quelle öffnen")</x:f>
        <x:v>HYPERLINK is not implemented. linkLocation=https://eur-lex.europa.eu/legal-content/DE/ALL/?uri=CELEX:32021R0279, friendlyName=Quelle öffnen</x:v>
      </x:c>
    </x:row>
    <x:row r="242" ht="64.80000305175781" hidden="0" customHeight="1">
      <x:c r="A242" s="10" t="str">
        <x:v>LINK-0241</x:v>
      </x:c>
      <x:c r="B242" s="10" t="n">
        <x:v>68</x:v>
      </x:c>
      <x:c r="C242" s="10" t="str">
        <x:v>QZBW-/BIOZBW-Gruppenzertifizierung (GZ) und Qualitätsmanagementsystem (QMS)</x:v>
      </x:c>
      <x:c r="D242" s="10" t="str">
        <x:v>QMS-Zulassungsentscheidung</x:v>
      </x:c>
      <x:c r="E242" s="10" t="str">
        <x:v>Grundlagendokument</x:v>
      </x:c>
      <x:c r="F242" s="10" t="str">
        <x:v>QZBW – Anforderungen an Erzeugergruppen, Stand 01.01.2023</x:v>
      </x:c>
      <x:c r="G242" s="10" t="str">
        <x:v>https://mbw.imageplant.de/</x:v>
      </x:c>
      <x:c r="H242" s="10" t="e">
        <x:f>HYPERLINK("https://mbw.imageplant.de/","Quelle öffnen")</x:f>
        <x:v>HYPERLINK is not implemented. linkLocation=https://mbw.imageplant.de/, friendlyName=Quelle öffnen</x:v>
      </x:c>
    </x:row>
    <x:row r="243" ht="64.80000305175781" hidden="0" customHeight="1">
      <x:c r="A243" s="10" t="str">
        <x:v>LINK-0242</x:v>
      </x:c>
      <x:c r="B243" s="10" t="n">
        <x:v>68</x:v>
      </x:c>
      <x:c r="C243" s="10" t="str">
        <x:v>QZBW-/BIOZBW-Gruppenzertifizierung (GZ) und Qualitätsmanagementsystem (QMS)</x:v>
      </x:c>
      <x:c r="D243" s="10" t="str">
        <x:v>QMS-Zulassungsentscheidung</x:v>
      </x:c>
      <x:c r="E243" s="10" t="str">
        <x:v>Grundlagendokument</x:v>
      </x:c>
      <x:c r="F243" s="10" t="str">
        <x:v>QZBW – Teilnahmevereinbarung Gruppenzertifizierung, Stand 2023</x:v>
      </x:c>
      <x:c r="G243" s="10" t="str">
        <x:v>https://mbw.imageplant.de/</x:v>
      </x:c>
      <x:c r="H243" s="10" t="e">
        <x:f>HYPERLINK("https://mbw.imageplant.de/","Quelle öffnen")</x:f>
        <x:v>HYPERLINK is not implemented. linkLocation=https://mbw.imageplant.de/, friendlyName=Quelle öffnen</x:v>
      </x:c>
    </x:row>
    <x:row r="244" ht="64.80000305175781" hidden="0" customHeight="1">
      <x:c r="A244" s="10" t="str">
        <x:v>LINK-0243</x:v>
      </x:c>
      <x:c r="B244" s="10" t="n">
        <x:v>68</x:v>
      </x:c>
      <x:c r="C244" s="10" t="str">
        <x:v>QZBW-/BIOZBW-Gruppenzertifizierung (GZ) und Qualitätsmanagementsystem (QMS)</x:v>
      </x:c>
      <x:c r="D244" s="10" t="str">
        <x:v>QMS-Zulassungsentscheidung</x:v>
      </x:c>
      <x:c r="E244" s="10" t="str">
        <x:v>Grundlagendokument</x:v>
      </x:c>
      <x:c r="F244" s="10" t="str">
        <x:v>BIOZBW – Programmbestimmungen, Stand 01.01.2026</x:v>
      </x:c>
      <x:c r="G244" s="10" t="str">
        <x:v>https://mbw.imageplant.de/</x:v>
      </x:c>
      <x:c r="H244" s="10" t="e">
        <x:f>HYPERLINK("https://mbw.imageplant.de/","Quelle öffnen")</x:f>
        <x:v>HYPERLINK is not implemented. linkLocation=https://mbw.imageplant.de/, friendlyName=Quelle öffnen</x:v>
      </x:c>
    </x:row>
    <x:row r="245" ht="75.5999984741211" hidden="0" customHeight="1">
      <x:c r="A245" s="10" t="str">
        <x:v>LINK-0244</x:v>
      </x:c>
      <x:c r="B245" s="10" t="n">
        <x:v>68</x:v>
      </x:c>
      <x:c r="C245" s="10" t="str">
        <x:v>QZBW-/BIOZBW-Gruppenzertifizierung (GZ) und Qualitätsmanagementsystem (QMS)</x:v>
      </x:c>
      <x:c r="D245" s="10" t="str">
        <x:v>QMS-Zulassungsentscheidung</x:v>
      </x:c>
      <x:c r="E245" s="10" t="str">
        <x:v>Grundlagendokument</x:v>
      </x:c>
      <x:c r="F245" s="10" t="str">
        <x:v>Verordnung (EU) 2018/848</x:v>
      </x:c>
      <x:c r="G245" s="10" t="str">
        <x:v>https://eur-lex.europa.eu/eli/reg/2018/848/oj?locale=de</x:v>
      </x:c>
      <x:c r="H245" s="10" t="e">
        <x:f>HYPERLINK("https://eur-lex.europa.eu/eli/reg/2018/848/oj?locale=de","Quelle öffnen")</x:f>
        <x:v>HYPERLINK is not implemented. linkLocation=https://eur-lex.europa.eu/eli/reg/2018/848/oj?locale=de, friendlyName=Quelle öffnen</x:v>
      </x:c>
    </x:row>
    <x:row r="246" ht="86.4000015258789" hidden="0" customHeight="1">
      <x:c r="A246" s="10" t="str">
        <x:v>LINK-0245</x:v>
      </x:c>
      <x:c r="B246" s="10" t="n">
        <x:v>68</x:v>
      </x:c>
      <x:c r="C246" s="10" t="str">
        <x:v>QZBW-/BIOZBW-Gruppenzertifizierung (GZ) und Qualitätsmanagementsystem (QMS)</x:v>
      </x:c>
      <x:c r="D246" s="10" t="str">
        <x:v>QMS-Zulassungsentscheidung</x:v>
      </x:c>
      <x:c r="E246" s="10" t="str">
        <x:v>Grundlagendokument</x:v>
      </x:c>
      <x:c r="F246" s="10" t="str">
        <x:v>Delegierte Verordnung (EU) 2021/715</x:v>
      </x:c>
      <x:c r="G246" s="10" t="str">
        <x:v>https://eur-lex.europa.eu/legal-content/DE/ALL/?uri=CELEX:32021R0715</x:v>
      </x:c>
      <x:c r="H246" s="10" t="e">
        <x:f>HYPERLINK("https://eur-lex.europa.eu/legal-content/DE/ALL/?uri=CELEX:32021R0715","Quelle öffnen")</x:f>
        <x:v>HYPERLINK is not implemented. linkLocation=https://eur-lex.europa.eu/legal-content/DE/ALL/?uri=CELEX:32021R0715, friendlyName=Quelle öffnen</x:v>
      </x:c>
    </x:row>
    <x:row r="247" ht="86.4000015258789" hidden="0" customHeight="1">
      <x:c r="A247" s="10" t="str">
        <x:v>LINK-0246</x:v>
      </x:c>
      <x:c r="B247" s="10" t="n">
        <x:v>68</x:v>
      </x:c>
      <x:c r="C247" s="10" t="str">
        <x:v>QZBW-/BIOZBW-Gruppenzertifizierung (GZ) und Qualitätsmanagementsystem (QMS)</x:v>
      </x:c>
      <x:c r="D247" s="10" t="str">
        <x:v>QMS-Zulassungsentscheidung</x:v>
      </x:c>
      <x:c r="E247" s="10" t="str">
        <x:v>Grundlagendokument</x:v>
      </x:c>
      <x:c r="F247" s="10" t="str">
        <x:v>Durchführungsverordnung (EU) 2021/279</x:v>
      </x:c>
      <x:c r="G247" s="10" t="str">
        <x:v>https://eur-lex.europa.eu/legal-content/DE/ALL/?uri=CELEX:32021R0279</x:v>
      </x:c>
      <x:c r="H247" s="10" t="e">
        <x:f>HYPERLINK("https://eur-lex.europa.eu/legal-content/DE/ALL/?uri=CELEX:32021R0279","Quelle öffnen")</x:f>
        <x:v>HYPERLINK is not implemented. linkLocation=https://eur-lex.europa.eu/legal-content/DE/ALL/?uri=CELEX:32021R0279, friendlyName=Quelle öffnen</x:v>
      </x:c>
    </x:row>
    <x:row r="248" ht="64.80000305175781" hidden="0" customHeight="1">
      <x:c r="A248" s="10" t="str">
        <x:v>LINK-0247</x:v>
      </x:c>
      <x:c r="B248" s="10" t="n">
        <x:v>69</x:v>
      </x:c>
      <x:c r="C248" s="10" t="str">
        <x:v>QZBW-/BIOZBW-Gruppenzertifizierung (GZ) und Qualitätsmanagementsystem (QMS)</x:v>
      </x:c>
      <x:c r="D248" s="10" t="str">
        <x:v>QMS-Abweichungs- und Maßnahmenplan</x:v>
      </x:c>
      <x:c r="E248" s="10" t="str">
        <x:v>Grundlagendokument</x:v>
      </x:c>
      <x:c r="F248" s="10" t="str">
        <x:v>QZBW – Anforderungen an Erzeugergruppen, Stand 01.01.2023</x:v>
      </x:c>
      <x:c r="G248" s="10" t="str">
        <x:v>https://mbw.imageplant.de/</x:v>
      </x:c>
      <x:c r="H248" s="10" t="e">
        <x:f>HYPERLINK("https://mbw.imageplant.de/","Quelle öffnen")</x:f>
        <x:v>HYPERLINK is not implemented. linkLocation=https://mbw.imageplant.de/, friendlyName=Quelle öffnen</x:v>
      </x:c>
    </x:row>
    <x:row r="249" ht="64.80000305175781" hidden="0" customHeight="1">
      <x:c r="A249" s="10" t="str">
        <x:v>LINK-0248</x:v>
      </x:c>
      <x:c r="B249" s="10" t="n">
        <x:v>69</x:v>
      </x:c>
      <x:c r="C249" s="10" t="str">
        <x:v>QZBW-/BIOZBW-Gruppenzertifizierung (GZ) und Qualitätsmanagementsystem (QMS)</x:v>
      </x:c>
      <x:c r="D249" s="10" t="str">
        <x:v>QMS-Abweichungs- und Maßnahmenplan</x:v>
      </x:c>
      <x:c r="E249" s="10" t="str">
        <x:v>Grundlagendokument</x:v>
      </x:c>
      <x:c r="F249" s="10" t="str">
        <x:v>QZBW – Teilnahmevereinbarung Gruppenzertifizierung, Stand 2023</x:v>
      </x:c>
      <x:c r="G249" s="10" t="str">
        <x:v>https://mbw.imageplant.de/</x:v>
      </x:c>
      <x:c r="H249" s="10" t="e">
        <x:f>HYPERLINK("https://mbw.imageplant.de/","Quelle öffnen")</x:f>
        <x:v>HYPERLINK is not implemented. linkLocation=https://mbw.imageplant.de/, friendlyName=Quelle öffnen</x:v>
      </x:c>
    </x:row>
    <x:row r="250" ht="64.80000305175781" hidden="0" customHeight="1">
      <x:c r="A250" s="10" t="str">
        <x:v>LINK-0249</x:v>
      </x:c>
      <x:c r="B250" s="10" t="n">
        <x:v>69</x:v>
      </x:c>
      <x:c r="C250" s="10" t="str">
        <x:v>QZBW-/BIOZBW-Gruppenzertifizierung (GZ) und Qualitätsmanagementsystem (QMS)</x:v>
      </x:c>
      <x:c r="D250" s="10" t="str">
        <x:v>QMS-Abweichungs- und Maßnahmenplan</x:v>
      </x:c>
      <x:c r="E250" s="10" t="str">
        <x:v>Grundlagendokument</x:v>
      </x:c>
      <x:c r="F250" s="10" t="str">
        <x:v>BIOZBW – Programmbestimmungen, Stand 01.01.2026</x:v>
      </x:c>
      <x:c r="G250" s="10" t="str">
        <x:v>https://mbw.imageplant.de/</x:v>
      </x:c>
      <x:c r="H250" s="10" t="e">
        <x:f>HYPERLINK("https://mbw.imageplant.de/","Quelle öffnen")</x:f>
        <x:v>HYPERLINK is not implemented. linkLocation=https://mbw.imageplant.de/, friendlyName=Quelle öffnen</x:v>
      </x:c>
    </x:row>
    <x:row r="251" ht="75.5999984741211" hidden="0" customHeight="1">
      <x:c r="A251" s="10" t="str">
        <x:v>LINK-0250</x:v>
      </x:c>
      <x:c r="B251" s="10" t="n">
        <x:v>69</x:v>
      </x:c>
      <x:c r="C251" s="10" t="str">
        <x:v>QZBW-/BIOZBW-Gruppenzertifizierung (GZ) und Qualitätsmanagementsystem (QMS)</x:v>
      </x:c>
      <x:c r="D251" s="10" t="str">
        <x:v>QMS-Abweichungs- und Maßnahmenplan</x:v>
      </x:c>
      <x:c r="E251" s="10" t="str">
        <x:v>Grundlagendokument</x:v>
      </x:c>
      <x:c r="F251" s="10" t="str">
        <x:v>Verordnung (EU) 2018/848</x:v>
      </x:c>
      <x:c r="G251" s="10" t="str">
        <x:v>https://eur-lex.europa.eu/eli/reg/2018/848/oj?locale=de</x:v>
      </x:c>
      <x:c r="H251" s="10" t="e">
        <x:f>HYPERLINK("https://eur-lex.europa.eu/eli/reg/2018/848/oj?locale=de","Quelle öffnen")</x:f>
        <x:v>HYPERLINK is not implemented. linkLocation=https://eur-lex.europa.eu/eli/reg/2018/848/oj?locale=de, friendlyName=Quelle öffnen</x:v>
      </x:c>
    </x:row>
    <x:row r="252" ht="86.4000015258789" hidden="0" customHeight="1">
      <x:c r="A252" s="10" t="str">
        <x:v>LINK-0251</x:v>
      </x:c>
      <x:c r="B252" s="10" t="n">
        <x:v>69</x:v>
      </x:c>
      <x:c r="C252" s="10" t="str">
        <x:v>QZBW-/BIOZBW-Gruppenzertifizierung (GZ) und Qualitätsmanagementsystem (QMS)</x:v>
      </x:c>
      <x:c r="D252" s="10" t="str">
        <x:v>QMS-Abweichungs- und Maßnahmenplan</x:v>
      </x:c>
      <x:c r="E252" s="10" t="str">
        <x:v>Grundlagendokument</x:v>
      </x:c>
      <x:c r="F252" s="10" t="str">
        <x:v>Delegierte Verordnung (EU) 2021/715</x:v>
      </x:c>
      <x:c r="G252" s="10" t="str">
        <x:v>https://eur-lex.europa.eu/legal-content/DE/ALL/?uri=CELEX:32021R0715</x:v>
      </x:c>
      <x:c r="H252" s="10" t="e">
        <x:f>HYPERLINK("https://eur-lex.europa.eu/legal-content/DE/ALL/?uri=CELEX:32021R0715","Quelle öffnen")</x:f>
        <x:v>HYPERLINK is not implemented. linkLocation=https://eur-lex.europa.eu/legal-content/DE/ALL/?uri=CELEX:32021R0715, friendlyName=Quelle öffnen</x:v>
      </x:c>
    </x:row>
    <x:row r="253" ht="86.4000015258789" hidden="0" customHeight="1">
      <x:c r="A253" s="10" t="str">
        <x:v>LINK-0252</x:v>
      </x:c>
      <x:c r="B253" s="10" t="n">
        <x:v>69</x:v>
      </x:c>
      <x:c r="C253" s="10" t="str">
        <x:v>QZBW-/BIOZBW-Gruppenzertifizierung (GZ) und Qualitätsmanagementsystem (QMS)</x:v>
      </x:c>
      <x:c r="D253" s="10" t="str">
        <x:v>QMS-Abweichungs- und Maßnahmenplan</x:v>
      </x:c>
      <x:c r="E253" s="10" t="str">
        <x:v>Grundlagendokument</x:v>
      </x:c>
      <x:c r="F253" s="10" t="str">
        <x:v>Durchführungsverordnung (EU) 2021/279</x:v>
      </x:c>
      <x:c r="G253" s="10" t="str">
        <x:v>https://eur-lex.europa.eu/legal-content/DE/ALL/?uri=CELEX:32021R0279</x:v>
      </x:c>
      <x:c r="H253" s="10" t="e">
        <x:f>HYPERLINK("https://eur-lex.europa.eu/legal-content/DE/ALL/?uri=CELEX:32021R0279","Quelle öffnen")</x:f>
        <x:v>HYPERLINK is not implemented. linkLocation=https://eur-lex.europa.eu/legal-content/DE/ALL/?uri=CELEX:32021R0279, friendlyName=Quelle öffnen</x:v>
      </x:c>
    </x:row>
    <x:row r="254" ht="64.80000305175781" hidden="0" customHeight="1">
      <x:c r="A254" s="10" t="str">
        <x:v>LINK-0253</x:v>
      </x:c>
      <x:c r="B254" s="10" t="n">
        <x:v>70</x:v>
      </x:c>
      <x:c r="C254" s="10" t="str">
        <x:v>QZBW-/BIOZBW-Gruppenzertifizierung (GZ) und Qualitätsmanagementsystem (QMS)</x:v>
      </x:c>
      <x:c r="D254" s="10" t="str">
        <x:v>QMS-Korrekturmeldung</x:v>
      </x:c>
      <x:c r="E254" s="10" t="str">
        <x:v>Grundlagendokument</x:v>
      </x:c>
      <x:c r="F254" s="10" t="str">
        <x:v>QZBW – Anforderungen an Erzeugergruppen, Stand 01.01.2023</x:v>
      </x:c>
      <x:c r="G254" s="10" t="str">
        <x:v>https://mbw.imageplant.de/</x:v>
      </x:c>
      <x:c r="H254" s="10" t="e">
        <x:f>HYPERLINK("https://mbw.imageplant.de/","Quelle öffnen")</x:f>
        <x:v>HYPERLINK is not implemented. linkLocation=https://mbw.imageplant.de/, friendlyName=Quelle öffnen</x:v>
      </x:c>
    </x:row>
    <x:row r="255" ht="64.80000305175781" hidden="0" customHeight="1">
      <x:c r="A255" s="10" t="str">
        <x:v>LINK-0254</x:v>
      </x:c>
      <x:c r="B255" s="10" t="n">
        <x:v>70</x:v>
      </x:c>
      <x:c r="C255" s="10" t="str">
        <x:v>QZBW-/BIOZBW-Gruppenzertifizierung (GZ) und Qualitätsmanagementsystem (QMS)</x:v>
      </x:c>
      <x:c r="D255" s="10" t="str">
        <x:v>QMS-Korrekturmeldung</x:v>
      </x:c>
      <x:c r="E255" s="10" t="str">
        <x:v>Grundlagendokument</x:v>
      </x:c>
      <x:c r="F255" s="10" t="str">
        <x:v>QZBW – Teilnahmevereinbarung Gruppenzertifizierung, Stand 2023</x:v>
      </x:c>
      <x:c r="G255" s="10" t="str">
        <x:v>https://mbw.imageplant.de/</x:v>
      </x:c>
      <x:c r="H255" s="10" t="e">
        <x:f>HYPERLINK("https://mbw.imageplant.de/","Quelle öffnen")</x:f>
        <x:v>HYPERLINK is not implemented. linkLocation=https://mbw.imageplant.de/, friendlyName=Quelle öffnen</x:v>
      </x:c>
    </x:row>
    <x:row r="256" ht="64.80000305175781" hidden="0" customHeight="1">
      <x:c r="A256" s="10" t="str">
        <x:v>LINK-0255</x:v>
      </x:c>
      <x:c r="B256" s="10" t="n">
        <x:v>70</x:v>
      </x:c>
      <x:c r="C256" s="10" t="str">
        <x:v>QZBW-/BIOZBW-Gruppenzertifizierung (GZ) und Qualitätsmanagementsystem (QMS)</x:v>
      </x:c>
      <x:c r="D256" s="10" t="str">
        <x:v>QMS-Korrekturmeldung</x:v>
      </x:c>
      <x:c r="E256" s="10" t="str">
        <x:v>Grundlagendokument</x:v>
      </x:c>
      <x:c r="F256" s="10" t="str">
        <x:v>BIOZBW – Programmbestimmungen, Stand 01.01.2026</x:v>
      </x:c>
      <x:c r="G256" s="10" t="str">
        <x:v>https://mbw.imageplant.de/</x:v>
      </x:c>
      <x:c r="H256" s="10" t="e">
        <x:f>HYPERLINK("https://mbw.imageplant.de/","Quelle öffnen")</x:f>
        <x:v>HYPERLINK is not implemented. linkLocation=https://mbw.imageplant.de/, friendlyName=Quelle öffnen</x:v>
      </x:c>
    </x:row>
    <x:row r="257" ht="75.5999984741211" hidden="0" customHeight="1">
      <x:c r="A257" s="10" t="str">
        <x:v>LINK-0256</x:v>
      </x:c>
      <x:c r="B257" s="10" t="n">
        <x:v>70</x:v>
      </x:c>
      <x:c r="C257" s="10" t="str">
        <x:v>QZBW-/BIOZBW-Gruppenzertifizierung (GZ) und Qualitätsmanagementsystem (QMS)</x:v>
      </x:c>
      <x:c r="D257" s="10" t="str">
        <x:v>QMS-Korrekturmeldung</x:v>
      </x:c>
      <x:c r="E257" s="10" t="str">
        <x:v>Grundlagendokument</x:v>
      </x:c>
      <x:c r="F257" s="10" t="str">
        <x:v>Verordnung (EU) 2018/848</x:v>
      </x:c>
      <x:c r="G257" s="10" t="str">
        <x:v>https://eur-lex.europa.eu/eli/reg/2018/848/oj?locale=de</x:v>
      </x:c>
      <x:c r="H257" s="10" t="e">
        <x:f>HYPERLINK("https://eur-lex.europa.eu/eli/reg/2018/848/oj?locale=de","Quelle öffnen")</x:f>
        <x:v>HYPERLINK is not implemented. linkLocation=https://eur-lex.europa.eu/eli/reg/2018/848/oj?locale=de, friendlyName=Quelle öffnen</x:v>
      </x:c>
    </x:row>
    <x:row r="258" ht="86.4000015258789" hidden="0" customHeight="1">
      <x:c r="A258" s="10" t="str">
        <x:v>LINK-0257</x:v>
      </x:c>
      <x:c r="B258" s="10" t="n">
        <x:v>70</x:v>
      </x:c>
      <x:c r="C258" s="10" t="str">
        <x:v>QZBW-/BIOZBW-Gruppenzertifizierung (GZ) und Qualitätsmanagementsystem (QMS)</x:v>
      </x:c>
      <x:c r="D258" s="10" t="str">
        <x:v>QMS-Korrekturmeldung</x:v>
      </x:c>
      <x:c r="E258" s="10" t="str">
        <x:v>Grundlagendokument</x:v>
      </x:c>
      <x:c r="F258" s="10" t="str">
        <x:v>Delegierte Verordnung (EU) 2021/715</x:v>
      </x:c>
      <x:c r="G258" s="10" t="str">
        <x:v>https://eur-lex.europa.eu/legal-content/DE/ALL/?uri=CELEX:32021R0715</x:v>
      </x:c>
      <x:c r="H258" s="10" t="e">
        <x:f>HYPERLINK("https://eur-lex.europa.eu/legal-content/DE/ALL/?uri=CELEX:32021R0715","Quelle öffnen")</x:f>
        <x:v>HYPERLINK is not implemented. linkLocation=https://eur-lex.europa.eu/legal-content/DE/ALL/?uri=CELEX:32021R0715, friendlyName=Quelle öffnen</x:v>
      </x:c>
    </x:row>
    <x:row r="259" ht="86.4000015258789" hidden="0" customHeight="1">
      <x:c r="A259" s="10" t="str">
        <x:v>LINK-0258</x:v>
      </x:c>
      <x:c r="B259" s="10" t="n">
        <x:v>70</x:v>
      </x:c>
      <x:c r="C259" s="10" t="str">
        <x:v>QZBW-/BIOZBW-Gruppenzertifizierung (GZ) und Qualitätsmanagementsystem (QMS)</x:v>
      </x:c>
      <x:c r="D259" s="10" t="str">
        <x:v>QMS-Korrekturmeldung</x:v>
      </x:c>
      <x:c r="E259" s="10" t="str">
        <x:v>Grundlagendokument</x:v>
      </x:c>
      <x:c r="F259" s="10" t="str">
        <x:v>Durchführungsverordnung (EU) 2021/279</x:v>
      </x:c>
      <x:c r="G259" s="10" t="str">
        <x:v>https://eur-lex.europa.eu/legal-content/DE/ALL/?uri=CELEX:32021R0279</x:v>
      </x:c>
      <x:c r="H259" s="10" t="e">
        <x:f>HYPERLINK("https://eur-lex.europa.eu/legal-content/DE/ALL/?uri=CELEX:32021R0279","Quelle öffnen")</x:f>
        <x:v>HYPERLINK is not implemented. linkLocation=https://eur-lex.europa.eu/legal-content/DE/ALL/?uri=CELEX:32021R0279, friendlyName=Quelle öffnen</x:v>
      </x:c>
    </x:row>
    <x:row r="260" ht="64.80000305175781" hidden="0" customHeight="1">
      <x:c r="A260" s="10" t="str">
        <x:v>LINK-0259</x:v>
      </x:c>
      <x:c r="B260" s="10" t="n">
        <x:v>71</x:v>
      </x:c>
      <x:c r="C260" s="10" t="str">
        <x:v>QZBW-/BIOZBW-Gruppenzertifizierung (GZ) und Qualitätsmanagementsystem (QMS)</x:v>
      </x:c>
      <x:c r="D260" s="10" t="str">
        <x:v>QMS-Rückverfolgbarkeitstest</x:v>
      </x:c>
      <x:c r="E260" s="10" t="str">
        <x:v>Grundlagendokument</x:v>
      </x:c>
      <x:c r="F260" s="10" t="str">
        <x:v>QZBW – Anforderungen an Erzeugergruppen, Stand 01.01.2023</x:v>
      </x:c>
      <x:c r="G260" s="10" t="str">
        <x:v>https://mbw.imageplant.de/</x:v>
      </x:c>
      <x:c r="H260" s="10" t="e">
        <x:f>HYPERLINK("https://mbw.imageplant.de/","Quelle öffnen")</x:f>
        <x:v>HYPERLINK is not implemented. linkLocation=https://mbw.imageplant.de/, friendlyName=Quelle öffnen</x:v>
      </x:c>
    </x:row>
    <x:row r="261" ht="64.80000305175781" hidden="0" customHeight="1">
      <x:c r="A261" s="10" t="str">
        <x:v>LINK-0260</x:v>
      </x:c>
      <x:c r="B261" s="10" t="n">
        <x:v>71</x:v>
      </x:c>
      <x:c r="C261" s="10" t="str">
        <x:v>QZBW-/BIOZBW-Gruppenzertifizierung (GZ) und Qualitätsmanagementsystem (QMS)</x:v>
      </x:c>
      <x:c r="D261" s="10" t="str">
        <x:v>QMS-Rückverfolgbarkeitstest</x:v>
      </x:c>
      <x:c r="E261" s="10" t="str">
        <x:v>Grundlagendokument</x:v>
      </x:c>
      <x:c r="F261" s="10" t="str">
        <x:v>QZBW – Teilnahmevereinbarung Gruppenzertifizierung, Stand 2023</x:v>
      </x:c>
      <x:c r="G261" s="10" t="str">
        <x:v>https://mbw.imageplant.de/</x:v>
      </x:c>
      <x:c r="H261" s="10" t="e">
        <x:f>HYPERLINK("https://mbw.imageplant.de/","Quelle öffnen")</x:f>
        <x:v>HYPERLINK is not implemented. linkLocation=https://mbw.imageplant.de/, friendlyName=Quelle öffnen</x:v>
      </x:c>
    </x:row>
    <x:row r="262" ht="64.80000305175781" hidden="0" customHeight="1">
      <x:c r="A262" s="10" t="str">
        <x:v>LINK-0261</x:v>
      </x:c>
      <x:c r="B262" s="10" t="n">
        <x:v>71</x:v>
      </x:c>
      <x:c r="C262" s="10" t="str">
        <x:v>QZBW-/BIOZBW-Gruppenzertifizierung (GZ) und Qualitätsmanagementsystem (QMS)</x:v>
      </x:c>
      <x:c r="D262" s="10" t="str">
        <x:v>QMS-Rückverfolgbarkeitstest</x:v>
      </x:c>
      <x:c r="E262" s="10" t="str">
        <x:v>Grundlagendokument</x:v>
      </x:c>
      <x:c r="F262" s="10" t="str">
        <x:v>BIOZBW – Programmbestimmungen, Stand 01.01.2026</x:v>
      </x:c>
      <x:c r="G262" s="10" t="str">
        <x:v>https://mbw.imageplant.de/</x:v>
      </x:c>
      <x:c r="H262" s="10" t="e">
        <x:f>HYPERLINK("https://mbw.imageplant.de/","Quelle öffnen")</x:f>
        <x:v>HYPERLINK is not implemented. linkLocation=https://mbw.imageplant.de/, friendlyName=Quelle öffnen</x:v>
      </x:c>
    </x:row>
    <x:row r="263" ht="75.5999984741211" hidden="0" customHeight="1">
      <x:c r="A263" s="10" t="str">
        <x:v>LINK-0262</x:v>
      </x:c>
      <x:c r="B263" s="10" t="n">
        <x:v>71</x:v>
      </x:c>
      <x:c r="C263" s="10" t="str">
        <x:v>QZBW-/BIOZBW-Gruppenzertifizierung (GZ) und Qualitätsmanagementsystem (QMS)</x:v>
      </x:c>
      <x:c r="D263" s="10" t="str">
        <x:v>QMS-Rückverfolgbarkeitstest</x:v>
      </x:c>
      <x:c r="E263" s="10" t="str">
        <x:v>Grundlagendokument</x:v>
      </x:c>
      <x:c r="F263" s="10" t="str">
        <x:v>Verordnung (EU) 2018/848</x:v>
      </x:c>
      <x:c r="G263" s="10" t="str">
        <x:v>https://eur-lex.europa.eu/eli/reg/2018/848/oj?locale=de</x:v>
      </x:c>
      <x:c r="H263" s="10" t="e">
        <x:f>HYPERLINK("https://eur-lex.europa.eu/eli/reg/2018/848/oj?locale=de","Quelle öffnen")</x:f>
        <x:v>HYPERLINK is not implemented. linkLocation=https://eur-lex.europa.eu/eli/reg/2018/848/oj?locale=de, friendlyName=Quelle öffnen</x:v>
      </x:c>
    </x:row>
    <x:row r="264" ht="86.4000015258789" hidden="0" customHeight="1">
      <x:c r="A264" s="10" t="str">
        <x:v>LINK-0263</x:v>
      </x:c>
      <x:c r="B264" s="10" t="n">
        <x:v>71</x:v>
      </x:c>
      <x:c r="C264" s="10" t="str">
        <x:v>QZBW-/BIOZBW-Gruppenzertifizierung (GZ) und Qualitätsmanagementsystem (QMS)</x:v>
      </x:c>
      <x:c r="D264" s="10" t="str">
        <x:v>QMS-Rückverfolgbarkeitstest</x:v>
      </x:c>
      <x:c r="E264" s="10" t="str">
        <x:v>Grundlagendokument</x:v>
      </x:c>
      <x:c r="F264" s="10" t="str">
        <x:v>Delegierte Verordnung (EU) 2021/715</x:v>
      </x:c>
      <x:c r="G264" s="10" t="str">
        <x:v>https://eur-lex.europa.eu/legal-content/DE/ALL/?uri=CELEX:32021R0715</x:v>
      </x:c>
      <x:c r="H264" s="10" t="e">
        <x:f>HYPERLINK("https://eur-lex.europa.eu/legal-content/DE/ALL/?uri=CELEX:32021R0715","Quelle öffnen")</x:f>
        <x:v>HYPERLINK is not implemented. linkLocation=https://eur-lex.europa.eu/legal-content/DE/ALL/?uri=CELEX:32021R0715, friendlyName=Quelle öffnen</x:v>
      </x:c>
    </x:row>
    <x:row r="265" ht="86.4000015258789" hidden="0" customHeight="1">
      <x:c r="A265" s="10" t="str">
        <x:v>LINK-0264</x:v>
      </x:c>
      <x:c r="B265" s="10" t="n">
        <x:v>71</x:v>
      </x:c>
      <x:c r="C265" s="10" t="str">
        <x:v>QZBW-/BIOZBW-Gruppenzertifizierung (GZ) und Qualitätsmanagementsystem (QMS)</x:v>
      </x:c>
      <x:c r="D265" s="10" t="str">
        <x:v>QMS-Rückverfolgbarkeitstest</x:v>
      </x:c>
      <x:c r="E265" s="10" t="str">
        <x:v>Grundlagendokument</x:v>
      </x:c>
      <x:c r="F265" s="10" t="str">
        <x:v>Durchführungsverordnung (EU) 2021/279</x:v>
      </x:c>
      <x:c r="G265" s="10" t="str">
        <x:v>https://eur-lex.europa.eu/legal-content/DE/ALL/?uri=CELEX:32021R0279</x:v>
      </x:c>
      <x:c r="H265" s="10" t="e">
        <x:f>HYPERLINK("https://eur-lex.europa.eu/legal-content/DE/ALL/?uri=CELEX:32021R0279","Quelle öffnen")</x:f>
        <x:v>HYPERLINK is not implemented. linkLocation=https://eur-lex.europa.eu/legal-content/DE/ALL/?uri=CELEX:32021R0279, friendlyName=Quelle öffnen</x:v>
      </x:c>
    </x:row>
    <x:row r="266" ht="64.80000305175781" hidden="0" customHeight="1">
      <x:c r="A266" s="10" t="str">
        <x:v>LINK-0265</x:v>
      </x:c>
      <x:c r="B266" s="10" t="n">
        <x:v>72</x:v>
      </x:c>
      <x:c r="C266" s="10" t="str">
        <x:v>QZBW-/BIOZBW-Gruppenzertifizierung (GZ) und Qualitätsmanagementsystem (QMS)</x:v>
      </x:c>
      <x:c r="D266" s="10" t="str">
        <x:v>QMS-Beschwerde- und Abweichungsregister</x:v>
      </x:c>
      <x:c r="E266" s="10" t="str">
        <x:v>Grundlagendokument</x:v>
      </x:c>
      <x:c r="F266" s="10" t="str">
        <x:v>QZBW – Anforderungen an Erzeugergruppen, Stand 01.01.2023</x:v>
      </x:c>
      <x:c r="G266" s="10" t="str">
        <x:v>https://mbw.imageplant.de/</x:v>
      </x:c>
      <x:c r="H266" s="10" t="e">
        <x:f>HYPERLINK("https://mbw.imageplant.de/","Quelle öffnen")</x:f>
        <x:v>HYPERLINK is not implemented. linkLocation=https://mbw.imageplant.de/, friendlyName=Quelle öffnen</x:v>
      </x:c>
    </x:row>
    <x:row r="267" ht="64.80000305175781" hidden="0" customHeight="1">
      <x:c r="A267" s="10" t="str">
        <x:v>LINK-0266</x:v>
      </x:c>
      <x:c r="B267" s="10" t="n">
        <x:v>72</x:v>
      </x:c>
      <x:c r="C267" s="10" t="str">
        <x:v>QZBW-/BIOZBW-Gruppenzertifizierung (GZ) und Qualitätsmanagementsystem (QMS)</x:v>
      </x:c>
      <x:c r="D267" s="10" t="str">
        <x:v>QMS-Beschwerde- und Abweichungsregister</x:v>
      </x:c>
      <x:c r="E267" s="10" t="str">
        <x:v>Grundlagendokument</x:v>
      </x:c>
      <x:c r="F267" s="10" t="str">
        <x:v>QZBW – Teilnahmevereinbarung Gruppenzertifizierung, Stand 2023</x:v>
      </x:c>
      <x:c r="G267" s="10" t="str">
        <x:v>https://mbw.imageplant.de/</x:v>
      </x:c>
      <x:c r="H267" s="10" t="e">
        <x:f>HYPERLINK("https://mbw.imageplant.de/","Quelle öffnen")</x:f>
        <x:v>HYPERLINK is not implemented. linkLocation=https://mbw.imageplant.de/, friendlyName=Quelle öffnen</x:v>
      </x:c>
    </x:row>
    <x:row r="268" ht="64.80000305175781" hidden="0" customHeight="1">
      <x:c r="A268" s="10" t="str">
        <x:v>LINK-0267</x:v>
      </x:c>
      <x:c r="B268" s="10" t="n">
        <x:v>72</x:v>
      </x:c>
      <x:c r="C268" s="10" t="str">
        <x:v>QZBW-/BIOZBW-Gruppenzertifizierung (GZ) und Qualitätsmanagementsystem (QMS)</x:v>
      </x:c>
      <x:c r="D268" s="10" t="str">
        <x:v>QMS-Beschwerde- und Abweichungsregister</x:v>
      </x:c>
      <x:c r="E268" s="10" t="str">
        <x:v>Grundlagendokument</x:v>
      </x:c>
      <x:c r="F268" s="10" t="str">
        <x:v>BIOZBW – Programmbestimmungen, Stand 01.01.2026</x:v>
      </x:c>
      <x:c r="G268" s="10" t="str">
        <x:v>https://mbw.imageplant.de/</x:v>
      </x:c>
      <x:c r="H268" s="10" t="e">
        <x:f>HYPERLINK("https://mbw.imageplant.de/","Quelle öffnen")</x:f>
        <x:v>HYPERLINK is not implemented. linkLocation=https://mbw.imageplant.de/, friendlyName=Quelle öffnen</x:v>
      </x:c>
    </x:row>
    <x:row r="269" ht="75.5999984741211" hidden="0" customHeight="1">
      <x:c r="A269" s="10" t="str">
        <x:v>LINK-0268</x:v>
      </x:c>
      <x:c r="B269" s="10" t="n">
        <x:v>72</x:v>
      </x:c>
      <x:c r="C269" s="10" t="str">
        <x:v>QZBW-/BIOZBW-Gruppenzertifizierung (GZ) und Qualitätsmanagementsystem (QMS)</x:v>
      </x:c>
      <x:c r="D269" s="10" t="str">
        <x:v>QMS-Beschwerde- und Abweichungsregister</x:v>
      </x:c>
      <x:c r="E269" s="10" t="str">
        <x:v>Grundlagendokument</x:v>
      </x:c>
      <x:c r="F269" s="10" t="str">
        <x:v>Verordnung (EU) 2018/848</x:v>
      </x:c>
      <x:c r="G269" s="10" t="str">
        <x:v>https://eur-lex.europa.eu/eli/reg/2018/848/oj?locale=de</x:v>
      </x:c>
      <x:c r="H269" s="10" t="e">
        <x:f>HYPERLINK("https://eur-lex.europa.eu/eli/reg/2018/848/oj?locale=de","Quelle öffnen")</x:f>
        <x:v>HYPERLINK is not implemented. linkLocation=https://eur-lex.europa.eu/eli/reg/2018/848/oj?locale=de, friendlyName=Quelle öffnen</x:v>
      </x:c>
    </x:row>
    <x:row r="270" ht="86.4000015258789" hidden="0" customHeight="1">
      <x:c r="A270" s="10" t="str">
        <x:v>LINK-0269</x:v>
      </x:c>
      <x:c r="B270" s="10" t="n">
        <x:v>72</x:v>
      </x:c>
      <x:c r="C270" s="10" t="str">
        <x:v>QZBW-/BIOZBW-Gruppenzertifizierung (GZ) und Qualitätsmanagementsystem (QMS)</x:v>
      </x:c>
      <x:c r="D270" s="10" t="str">
        <x:v>QMS-Beschwerde- und Abweichungsregister</x:v>
      </x:c>
      <x:c r="E270" s="10" t="str">
        <x:v>Grundlagendokument</x:v>
      </x:c>
      <x:c r="F270" s="10" t="str">
        <x:v>Delegierte Verordnung (EU) 2021/715</x:v>
      </x:c>
      <x:c r="G270" s="10" t="str">
        <x:v>https://eur-lex.europa.eu/legal-content/DE/ALL/?uri=CELEX:32021R0715</x:v>
      </x:c>
      <x:c r="H270" s="10" t="e">
        <x:f>HYPERLINK("https://eur-lex.europa.eu/legal-content/DE/ALL/?uri=CELEX:32021R0715","Quelle öffnen")</x:f>
        <x:v>HYPERLINK is not implemented. linkLocation=https://eur-lex.europa.eu/legal-content/DE/ALL/?uri=CELEX:32021R0715, friendlyName=Quelle öffnen</x:v>
      </x:c>
    </x:row>
    <x:row r="271" ht="86.4000015258789" hidden="0" customHeight="1">
      <x:c r="A271" s="10" t="str">
        <x:v>LINK-0270</x:v>
      </x:c>
      <x:c r="B271" s="10" t="n">
        <x:v>72</x:v>
      </x:c>
      <x:c r="C271" s="10" t="str">
        <x:v>QZBW-/BIOZBW-Gruppenzertifizierung (GZ) und Qualitätsmanagementsystem (QMS)</x:v>
      </x:c>
      <x:c r="D271" s="10" t="str">
        <x:v>QMS-Beschwerde- und Abweichungsregister</x:v>
      </x:c>
      <x:c r="E271" s="10" t="str">
        <x:v>Grundlagendokument</x:v>
      </x:c>
      <x:c r="F271" s="10" t="str">
        <x:v>Durchführungsverordnung (EU) 2021/279</x:v>
      </x:c>
      <x:c r="G271" s="10" t="str">
        <x:v>https://eur-lex.europa.eu/legal-content/DE/ALL/?uri=CELEX:32021R0279</x:v>
      </x:c>
      <x:c r="H271" s="10" t="e">
        <x:f>HYPERLINK("https://eur-lex.europa.eu/legal-content/DE/ALL/?uri=CELEX:32021R0279","Quelle öffnen")</x:f>
        <x:v>HYPERLINK is not implemented. linkLocation=https://eur-lex.europa.eu/legal-content/DE/ALL/?uri=CELEX:32021R0279, friendlyName=Quelle öffnen</x:v>
      </x:c>
    </x:row>
    <x:row r="272" ht="64.80000305175781" hidden="0" customHeight="1">
      <x:c r="A272" s="10" t="str">
        <x:v>LINK-0271</x:v>
      </x:c>
      <x:c r="B272" s="10" t="n">
        <x:v>73</x:v>
      </x:c>
      <x:c r="C272" s="10" t="str">
        <x:v>QZBW-/BIOZBW-Gruppenzertifizierung (GZ) und Qualitätsmanagementsystem (QMS)</x:v>
      </x:c>
      <x:c r="D272" s="10" t="str">
        <x:v>Externer QMS-Kontrollauftrag</x:v>
      </x:c>
      <x:c r="E272" s="10" t="str">
        <x:v>Grundlagendokument</x:v>
      </x:c>
      <x:c r="F272" s="10" t="str">
        <x:v>QZBW – Anforderungen an Erzeugergruppen, Stand 01.01.2023</x:v>
      </x:c>
      <x:c r="G272" s="10" t="str">
        <x:v>https://mbw.imageplant.de/</x:v>
      </x:c>
      <x:c r="H272" s="10" t="e">
        <x:f>HYPERLINK("https://mbw.imageplant.de/","Quelle öffnen")</x:f>
        <x:v>HYPERLINK is not implemented. linkLocation=https://mbw.imageplant.de/, friendlyName=Quelle öffnen</x:v>
      </x:c>
    </x:row>
    <x:row r="273" ht="64.80000305175781" hidden="0" customHeight="1">
      <x:c r="A273" s="10" t="str">
        <x:v>LINK-0272</x:v>
      </x:c>
      <x:c r="B273" s="10" t="n">
        <x:v>73</x:v>
      </x:c>
      <x:c r="C273" s="10" t="str">
        <x:v>QZBW-/BIOZBW-Gruppenzertifizierung (GZ) und Qualitätsmanagementsystem (QMS)</x:v>
      </x:c>
      <x:c r="D273" s="10" t="str">
        <x:v>Externer QMS-Kontrollauftrag</x:v>
      </x:c>
      <x:c r="E273" s="10" t="str">
        <x:v>Grundlagendokument</x:v>
      </x:c>
      <x:c r="F273" s="10" t="str">
        <x:v>QZBW – Teilnahmevereinbarung Gruppenzertifizierung, Stand 2023</x:v>
      </x:c>
      <x:c r="G273" s="10" t="str">
        <x:v>https://mbw.imageplant.de/</x:v>
      </x:c>
      <x:c r="H273" s="10" t="e">
        <x:f>HYPERLINK("https://mbw.imageplant.de/","Quelle öffnen")</x:f>
        <x:v>HYPERLINK is not implemented. linkLocation=https://mbw.imageplant.de/, friendlyName=Quelle öffnen</x:v>
      </x:c>
    </x:row>
    <x:row r="274" ht="64.80000305175781" hidden="0" customHeight="1">
      <x:c r="A274" s="10" t="str">
        <x:v>LINK-0273</x:v>
      </x:c>
      <x:c r="B274" s="10" t="n">
        <x:v>73</x:v>
      </x:c>
      <x:c r="C274" s="10" t="str">
        <x:v>QZBW-/BIOZBW-Gruppenzertifizierung (GZ) und Qualitätsmanagementsystem (QMS)</x:v>
      </x:c>
      <x:c r="D274" s="10" t="str">
        <x:v>Externer QMS-Kontrollauftrag</x:v>
      </x:c>
      <x:c r="E274" s="10" t="str">
        <x:v>Grundlagendokument</x:v>
      </x:c>
      <x:c r="F274" s="10" t="str">
        <x:v>BIOZBW – Programmbestimmungen, Stand 01.01.2026</x:v>
      </x:c>
      <x:c r="G274" s="10" t="str">
        <x:v>https://mbw.imageplant.de/</x:v>
      </x:c>
      <x:c r="H274" s="10" t="e">
        <x:f>HYPERLINK("https://mbw.imageplant.de/","Quelle öffnen")</x:f>
        <x:v>HYPERLINK is not implemented. linkLocation=https://mbw.imageplant.de/, friendlyName=Quelle öffnen</x:v>
      </x:c>
    </x:row>
    <x:row r="275" ht="75.5999984741211" hidden="0" customHeight="1">
      <x:c r="A275" s="10" t="str">
        <x:v>LINK-0274</x:v>
      </x:c>
      <x:c r="B275" s="10" t="n">
        <x:v>73</x:v>
      </x:c>
      <x:c r="C275" s="10" t="str">
        <x:v>QZBW-/BIOZBW-Gruppenzertifizierung (GZ) und Qualitätsmanagementsystem (QMS)</x:v>
      </x:c>
      <x:c r="D275" s="10" t="str">
        <x:v>Externer QMS-Kontrollauftrag</x:v>
      </x:c>
      <x:c r="E275" s="10" t="str">
        <x:v>Grundlagendokument</x:v>
      </x:c>
      <x:c r="F275" s="10" t="str">
        <x:v>Verordnung (EU) 2018/848</x:v>
      </x:c>
      <x:c r="G275" s="10" t="str">
        <x:v>https://eur-lex.europa.eu/eli/reg/2018/848/oj?locale=de</x:v>
      </x:c>
      <x:c r="H275" s="10" t="e">
        <x:f>HYPERLINK("https://eur-lex.europa.eu/eli/reg/2018/848/oj?locale=de","Quelle öffnen")</x:f>
        <x:v>HYPERLINK is not implemented. linkLocation=https://eur-lex.europa.eu/eli/reg/2018/848/oj?locale=de, friendlyName=Quelle öffnen</x:v>
      </x:c>
    </x:row>
    <x:row r="276" ht="86.4000015258789" hidden="0" customHeight="1">
      <x:c r="A276" s="10" t="str">
        <x:v>LINK-0275</x:v>
      </x:c>
      <x:c r="B276" s="10" t="n">
        <x:v>73</x:v>
      </x:c>
      <x:c r="C276" s="10" t="str">
        <x:v>QZBW-/BIOZBW-Gruppenzertifizierung (GZ) und Qualitätsmanagementsystem (QMS)</x:v>
      </x:c>
      <x:c r="D276" s="10" t="str">
        <x:v>Externer QMS-Kontrollauftrag</x:v>
      </x:c>
      <x:c r="E276" s="10" t="str">
        <x:v>Grundlagendokument</x:v>
      </x:c>
      <x:c r="F276" s="10" t="str">
        <x:v>Delegierte Verordnung (EU) 2021/715</x:v>
      </x:c>
      <x:c r="G276" s="10" t="str">
        <x:v>https://eur-lex.europa.eu/legal-content/DE/ALL/?uri=CELEX:32021R0715</x:v>
      </x:c>
      <x:c r="H276" s="10" t="e">
        <x:f>HYPERLINK("https://eur-lex.europa.eu/legal-content/DE/ALL/?uri=CELEX:32021R0715","Quelle öffnen")</x:f>
        <x:v>HYPERLINK is not implemented. linkLocation=https://eur-lex.europa.eu/legal-content/DE/ALL/?uri=CELEX:32021R0715, friendlyName=Quelle öffnen</x:v>
      </x:c>
    </x:row>
    <x:row r="277" ht="86.4000015258789" hidden="0" customHeight="1">
      <x:c r="A277" s="10" t="str">
        <x:v>LINK-0276</x:v>
      </x:c>
      <x:c r="B277" s="10" t="n">
        <x:v>73</x:v>
      </x:c>
      <x:c r="C277" s="10" t="str">
        <x:v>QZBW-/BIOZBW-Gruppenzertifizierung (GZ) und Qualitätsmanagementsystem (QMS)</x:v>
      </x:c>
      <x:c r="D277" s="10" t="str">
        <x:v>Externer QMS-Kontrollauftrag</x:v>
      </x:c>
      <x:c r="E277" s="10" t="str">
        <x:v>Grundlagendokument</x:v>
      </x:c>
      <x:c r="F277" s="10" t="str">
        <x:v>Durchführungsverordnung (EU) 2021/279</x:v>
      </x:c>
      <x:c r="G277" s="10" t="str">
        <x:v>https://eur-lex.europa.eu/legal-content/DE/ALL/?uri=CELEX:32021R0279</x:v>
      </x:c>
      <x:c r="H277" s="10" t="e">
        <x:f>HYPERLINK("https://eur-lex.europa.eu/legal-content/DE/ALL/?uri=CELEX:32021R0279","Quelle öffnen")</x:f>
        <x:v>HYPERLINK is not implemented. linkLocation=https://eur-lex.europa.eu/legal-content/DE/ALL/?uri=CELEX:32021R0279, friendlyName=Quelle öffnen</x:v>
      </x:c>
    </x:row>
    <x:row r="278" ht="64.80000305175781" hidden="0" customHeight="1">
      <x:c r="A278" s="10" t="str">
        <x:v>LINK-0277</x:v>
      </x:c>
      <x:c r="B278" s="10" t="n">
        <x:v>74</x:v>
      </x:c>
      <x:c r="C278" s="10" t="str">
        <x:v>QZBW-/BIOZBW-Gruppenzertifizierung (GZ) und Qualitätsmanagementsystem (QMS)</x:v>
      </x:c>
      <x:c r="D278" s="10" t="str">
        <x:v>QMS-Kontrolltermin und Unterlagenanforderung</x:v>
      </x:c>
      <x:c r="E278" s="10" t="str">
        <x:v>Grundlagendokument</x:v>
      </x:c>
      <x:c r="F278" s="10" t="str">
        <x:v>QZBW – Anforderungen an Erzeugergruppen, Stand 01.01.2023</x:v>
      </x:c>
      <x:c r="G278" s="10" t="str">
        <x:v>https://mbw.imageplant.de/</x:v>
      </x:c>
      <x:c r="H278" s="10" t="e">
        <x:f>HYPERLINK("https://mbw.imageplant.de/","Quelle öffnen")</x:f>
        <x:v>HYPERLINK is not implemented. linkLocation=https://mbw.imageplant.de/, friendlyName=Quelle öffnen</x:v>
      </x:c>
    </x:row>
    <x:row r="279" ht="64.80000305175781" hidden="0" customHeight="1">
      <x:c r="A279" s="10" t="str">
        <x:v>LINK-0278</x:v>
      </x:c>
      <x:c r="B279" s="10" t="n">
        <x:v>74</x:v>
      </x:c>
      <x:c r="C279" s="10" t="str">
        <x:v>QZBW-/BIOZBW-Gruppenzertifizierung (GZ) und Qualitätsmanagementsystem (QMS)</x:v>
      </x:c>
      <x:c r="D279" s="10" t="str">
        <x:v>QMS-Kontrolltermin und Unterlagenanforderung</x:v>
      </x:c>
      <x:c r="E279" s="10" t="str">
        <x:v>Grundlagendokument</x:v>
      </x:c>
      <x:c r="F279" s="10" t="str">
        <x:v>QZBW – Teilnahmevereinbarung Gruppenzertifizierung, Stand 2023</x:v>
      </x:c>
      <x:c r="G279" s="10" t="str">
        <x:v>https://mbw.imageplant.de/</x:v>
      </x:c>
      <x:c r="H279" s="10" t="e">
        <x:f>HYPERLINK("https://mbw.imageplant.de/","Quelle öffnen")</x:f>
        <x:v>HYPERLINK is not implemented. linkLocation=https://mbw.imageplant.de/, friendlyName=Quelle öffnen</x:v>
      </x:c>
    </x:row>
    <x:row r="280" ht="64.80000305175781" hidden="0" customHeight="1">
      <x:c r="A280" s="10" t="str">
        <x:v>LINK-0279</x:v>
      </x:c>
      <x:c r="B280" s="10" t="n">
        <x:v>74</x:v>
      </x:c>
      <x:c r="C280" s="10" t="str">
        <x:v>QZBW-/BIOZBW-Gruppenzertifizierung (GZ) und Qualitätsmanagementsystem (QMS)</x:v>
      </x:c>
      <x:c r="D280" s="10" t="str">
        <x:v>QMS-Kontrolltermin und Unterlagenanforderung</x:v>
      </x:c>
      <x:c r="E280" s="10" t="str">
        <x:v>Grundlagendokument</x:v>
      </x:c>
      <x:c r="F280" s="10" t="str">
        <x:v>BIOZBW – Programmbestimmungen, Stand 01.01.2026</x:v>
      </x:c>
      <x:c r="G280" s="10" t="str">
        <x:v>https://mbw.imageplant.de/</x:v>
      </x:c>
      <x:c r="H280" s="10" t="e">
        <x:f>HYPERLINK("https://mbw.imageplant.de/","Quelle öffnen")</x:f>
        <x:v>HYPERLINK is not implemented. linkLocation=https://mbw.imageplant.de/, friendlyName=Quelle öffnen</x:v>
      </x:c>
    </x:row>
    <x:row r="281" ht="75.5999984741211" hidden="0" customHeight="1">
      <x:c r="A281" s="10" t="str">
        <x:v>LINK-0280</x:v>
      </x:c>
      <x:c r="B281" s="10" t="n">
        <x:v>74</x:v>
      </x:c>
      <x:c r="C281" s="10" t="str">
        <x:v>QZBW-/BIOZBW-Gruppenzertifizierung (GZ) und Qualitätsmanagementsystem (QMS)</x:v>
      </x:c>
      <x:c r="D281" s="10" t="str">
        <x:v>QMS-Kontrolltermin und Unterlagenanforderung</x:v>
      </x:c>
      <x:c r="E281" s="10" t="str">
        <x:v>Grundlagendokument</x:v>
      </x:c>
      <x:c r="F281" s="10" t="str">
        <x:v>Verordnung (EU) 2018/848</x:v>
      </x:c>
      <x:c r="G281" s="10" t="str">
        <x:v>https://eur-lex.europa.eu/eli/reg/2018/848/oj?locale=de</x:v>
      </x:c>
      <x:c r="H281" s="10" t="e">
        <x:f>HYPERLINK("https://eur-lex.europa.eu/eli/reg/2018/848/oj?locale=de","Quelle öffnen")</x:f>
        <x:v>HYPERLINK is not implemented. linkLocation=https://eur-lex.europa.eu/eli/reg/2018/848/oj?locale=de, friendlyName=Quelle öffnen</x:v>
      </x:c>
    </x:row>
    <x:row r="282" ht="86.4000015258789" hidden="0" customHeight="1">
      <x:c r="A282" s="10" t="str">
        <x:v>LINK-0281</x:v>
      </x:c>
      <x:c r="B282" s="10" t="n">
        <x:v>74</x:v>
      </x:c>
      <x:c r="C282" s="10" t="str">
        <x:v>QZBW-/BIOZBW-Gruppenzertifizierung (GZ) und Qualitätsmanagementsystem (QMS)</x:v>
      </x:c>
      <x:c r="D282" s="10" t="str">
        <x:v>QMS-Kontrolltermin und Unterlagenanforderung</x:v>
      </x:c>
      <x:c r="E282" s="10" t="str">
        <x:v>Grundlagendokument</x:v>
      </x:c>
      <x:c r="F282" s="10" t="str">
        <x:v>Delegierte Verordnung (EU) 2021/715</x:v>
      </x:c>
      <x:c r="G282" s="10" t="str">
        <x:v>https://eur-lex.europa.eu/legal-content/DE/ALL/?uri=CELEX:32021R0715</x:v>
      </x:c>
      <x:c r="H282" s="10" t="e">
        <x:f>HYPERLINK("https://eur-lex.europa.eu/legal-content/DE/ALL/?uri=CELEX:32021R0715","Quelle öffnen")</x:f>
        <x:v>HYPERLINK is not implemented. linkLocation=https://eur-lex.europa.eu/legal-content/DE/ALL/?uri=CELEX:32021R0715, friendlyName=Quelle öffnen</x:v>
      </x:c>
    </x:row>
    <x:row r="283" ht="86.4000015258789" hidden="0" customHeight="1">
      <x:c r="A283" s="10" t="str">
        <x:v>LINK-0282</x:v>
      </x:c>
      <x:c r="B283" s="10" t="n">
        <x:v>74</x:v>
      </x:c>
      <x:c r="C283" s="10" t="str">
        <x:v>QZBW-/BIOZBW-Gruppenzertifizierung (GZ) und Qualitätsmanagementsystem (QMS)</x:v>
      </x:c>
      <x:c r="D283" s="10" t="str">
        <x:v>QMS-Kontrolltermin und Unterlagenanforderung</x:v>
      </x:c>
      <x:c r="E283" s="10" t="str">
        <x:v>Grundlagendokument</x:v>
      </x:c>
      <x:c r="F283" s="10" t="str">
        <x:v>Durchführungsverordnung (EU) 2021/279</x:v>
      </x:c>
      <x:c r="G283" s="10" t="str">
        <x:v>https://eur-lex.europa.eu/legal-content/DE/ALL/?uri=CELEX:32021R0279</x:v>
      </x:c>
      <x:c r="H283" s="10" t="e">
        <x:f>HYPERLINK("https://eur-lex.europa.eu/legal-content/DE/ALL/?uri=CELEX:32021R0279","Quelle öffnen")</x:f>
        <x:v>HYPERLINK is not implemented. linkLocation=https://eur-lex.europa.eu/legal-content/DE/ALL/?uri=CELEX:32021R0279, friendlyName=Quelle öffnen</x:v>
      </x:c>
    </x:row>
    <x:row r="284" ht="64.80000305175781" hidden="0" customHeight="1">
      <x:c r="A284" s="10" t="str">
        <x:v>LINK-0283</x:v>
      </x:c>
      <x:c r="B284" s="10" t="n">
        <x:v>75</x:v>
      </x:c>
      <x:c r="C284" s="10" t="str">
        <x:v>QZBW-/BIOZBW-Gruppenzertifizierung (GZ) und Qualitätsmanagementsystem (QMS)</x:v>
      </x:c>
      <x:c r="D284" s="10" t="str">
        <x:v>QMS-Zertifikatsdaten</x:v>
      </x:c>
      <x:c r="E284" s="10" t="str">
        <x:v>Grundlagendokument</x:v>
      </x:c>
      <x:c r="F284" s="10" t="str">
        <x:v>QZBW – Anforderungen an Erzeugergruppen, Stand 01.01.2023</x:v>
      </x:c>
      <x:c r="G284" s="10" t="str">
        <x:v>https://mbw.imageplant.de/</x:v>
      </x:c>
      <x:c r="H284" s="10" t="e">
        <x:f>HYPERLINK("https://mbw.imageplant.de/","Quelle öffnen")</x:f>
        <x:v>HYPERLINK is not implemented. linkLocation=https://mbw.imageplant.de/, friendlyName=Quelle öffnen</x:v>
      </x:c>
    </x:row>
    <x:row r="285" ht="64.80000305175781" hidden="0" customHeight="1">
      <x:c r="A285" s="10" t="str">
        <x:v>LINK-0284</x:v>
      </x:c>
      <x:c r="B285" s="10" t="n">
        <x:v>75</x:v>
      </x:c>
      <x:c r="C285" s="10" t="str">
        <x:v>QZBW-/BIOZBW-Gruppenzertifizierung (GZ) und Qualitätsmanagementsystem (QMS)</x:v>
      </x:c>
      <x:c r="D285" s="10" t="str">
        <x:v>QMS-Zertifikatsdaten</x:v>
      </x:c>
      <x:c r="E285" s="10" t="str">
        <x:v>Grundlagendokument</x:v>
      </x:c>
      <x:c r="F285" s="10" t="str">
        <x:v>QZBW – Teilnahmevereinbarung Gruppenzertifizierung, Stand 2023</x:v>
      </x:c>
      <x:c r="G285" s="10" t="str">
        <x:v>https://mbw.imageplant.de/</x:v>
      </x:c>
      <x:c r="H285" s="10" t="e">
        <x:f>HYPERLINK("https://mbw.imageplant.de/","Quelle öffnen")</x:f>
        <x:v>HYPERLINK is not implemented. linkLocation=https://mbw.imageplant.de/, friendlyName=Quelle öffnen</x:v>
      </x:c>
    </x:row>
    <x:row r="286" ht="64.80000305175781" hidden="0" customHeight="1">
      <x:c r="A286" s="10" t="str">
        <x:v>LINK-0285</x:v>
      </x:c>
      <x:c r="B286" s="10" t="n">
        <x:v>75</x:v>
      </x:c>
      <x:c r="C286" s="10" t="str">
        <x:v>QZBW-/BIOZBW-Gruppenzertifizierung (GZ) und Qualitätsmanagementsystem (QMS)</x:v>
      </x:c>
      <x:c r="D286" s="10" t="str">
        <x:v>QMS-Zertifikatsdaten</x:v>
      </x:c>
      <x:c r="E286" s="10" t="str">
        <x:v>Grundlagendokument</x:v>
      </x:c>
      <x:c r="F286" s="10" t="str">
        <x:v>BIOZBW – Programmbestimmungen, Stand 01.01.2026</x:v>
      </x:c>
      <x:c r="G286" s="10" t="str">
        <x:v>https://mbw.imageplant.de/</x:v>
      </x:c>
      <x:c r="H286" s="10" t="e">
        <x:f>HYPERLINK("https://mbw.imageplant.de/","Quelle öffnen")</x:f>
        <x:v>HYPERLINK is not implemented. linkLocation=https://mbw.imageplant.de/, friendlyName=Quelle öffnen</x:v>
      </x:c>
    </x:row>
    <x:row r="287" ht="75.5999984741211" hidden="0" customHeight="1">
      <x:c r="A287" s="10" t="str">
        <x:v>LINK-0286</x:v>
      </x:c>
      <x:c r="B287" s="10" t="n">
        <x:v>75</x:v>
      </x:c>
      <x:c r="C287" s="10" t="str">
        <x:v>QZBW-/BIOZBW-Gruppenzertifizierung (GZ) und Qualitätsmanagementsystem (QMS)</x:v>
      </x:c>
      <x:c r="D287" s="10" t="str">
        <x:v>QMS-Zertifikatsdaten</x:v>
      </x:c>
      <x:c r="E287" s="10" t="str">
        <x:v>Grundlagendokument</x:v>
      </x:c>
      <x:c r="F287" s="10" t="str">
        <x:v>Verordnung (EU) 2018/848</x:v>
      </x:c>
      <x:c r="G287" s="10" t="str">
        <x:v>https://eur-lex.europa.eu/eli/reg/2018/848/oj?locale=de</x:v>
      </x:c>
      <x:c r="H287" s="10" t="e">
        <x:f>HYPERLINK("https://eur-lex.europa.eu/eli/reg/2018/848/oj?locale=de","Quelle öffnen")</x:f>
        <x:v>HYPERLINK is not implemented. linkLocation=https://eur-lex.europa.eu/eli/reg/2018/848/oj?locale=de, friendlyName=Quelle öffnen</x:v>
      </x:c>
    </x:row>
    <x:row r="288" ht="86.4000015258789" hidden="0" customHeight="1">
      <x:c r="A288" s="10" t="str">
        <x:v>LINK-0287</x:v>
      </x:c>
      <x:c r="B288" s="10" t="n">
        <x:v>75</x:v>
      </x:c>
      <x:c r="C288" s="10" t="str">
        <x:v>QZBW-/BIOZBW-Gruppenzertifizierung (GZ) und Qualitätsmanagementsystem (QMS)</x:v>
      </x:c>
      <x:c r="D288" s="10" t="str">
        <x:v>QMS-Zertifikatsdaten</x:v>
      </x:c>
      <x:c r="E288" s="10" t="str">
        <x:v>Grundlagendokument</x:v>
      </x:c>
      <x:c r="F288" s="10" t="str">
        <x:v>Delegierte Verordnung (EU) 2021/715</x:v>
      </x:c>
      <x:c r="G288" s="10" t="str">
        <x:v>https://eur-lex.europa.eu/legal-content/DE/ALL/?uri=CELEX:32021R0715</x:v>
      </x:c>
      <x:c r="H288" s="10" t="e">
        <x:f>HYPERLINK("https://eur-lex.europa.eu/legal-content/DE/ALL/?uri=CELEX:32021R0715","Quelle öffnen")</x:f>
        <x:v>HYPERLINK is not implemented. linkLocation=https://eur-lex.europa.eu/legal-content/DE/ALL/?uri=CELEX:32021R0715, friendlyName=Quelle öffnen</x:v>
      </x:c>
    </x:row>
    <x:row r="289" ht="86.4000015258789" hidden="0" customHeight="1">
      <x:c r="A289" s="10" t="str">
        <x:v>LINK-0288</x:v>
      </x:c>
      <x:c r="B289" s="10" t="n">
        <x:v>75</x:v>
      </x:c>
      <x:c r="C289" s="10" t="str">
        <x:v>QZBW-/BIOZBW-Gruppenzertifizierung (GZ) und Qualitätsmanagementsystem (QMS)</x:v>
      </x:c>
      <x:c r="D289" s="10" t="str">
        <x:v>QMS-Zertifikatsdaten</x:v>
      </x:c>
      <x:c r="E289" s="10" t="str">
        <x:v>Grundlagendokument</x:v>
      </x:c>
      <x:c r="F289" s="10" t="str">
        <x:v>Durchführungsverordnung (EU) 2021/279</x:v>
      </x:c>
      <x:c r="G289" s="10" t="str">
        <x:v>https://eur-lex.europa.eu/legal-content/DE/ALL/?uri=CELEX:32021R0279</x:v>
      </x:c>
      <x:c r="H289" s="10" t="e">
        <x:f>HYPERLINK("https://eur-lex.europa.eu/legal-content/DE/ALL/?uri=CELEX:32021R0279","Quelle öffnen")</x:f>
        <x:v>HYPERLINK is not implemented. linkLocation=https://eur-lex.europa.eu/legal-content/DE/ALL/?uri=CELEX:32021R0279, friendlyName=Quelle öffnen</x:v>
      </x:c>
    </x:row>
    <x:row r="290" ht="64.80000305175781" hidden="0" customHeight="1">
      <x:c r="A290" s="10" t="str">
        <x:v>LINK-0289</x:v>
      </x:c>
      <x:c r="B290" s="10" t="n">
        <x:v>76</x:v>
      </x:c>
      <x:c r="C290" s="10" t="str">
        <x:v>QZBW-/BIOZBW-Gruppenzertifizierung (GZ) und Qualitätsmanagementsystem (QMS)</x:v>
      </x:c>
      <x:c r="D290" s="10" t="str">
        <x:v>Lizenznehmer-Prüf- und Weiterleitungsdaten</x:v>
      </x:c>
      <x:c r="E290" s="10" t="str">
        <x:v>Grundlagendokument</x:v>
      </x:c>
      <x:c r="F290" s="10" t="str">
        <x:v>QZBW – Anforderungen an Erzeugergruppen, Stand 01.01.2023</x:v>
      </x:c>
      <x:c r="G290" s="10" t="str">
        <x:v>https://mbw.imageplant.de/</x:v>
      </x:c>
      <x:c r="H290" s="10" t="e">
        <x:f>HYPERLINK("https://mbw.imageplant.de/","Quelle öffnen")</x:f>
        <x:v>HYPERLINK is not implemented. linkLocation=https://mbw.imageplant.de/, friendlyName=Quelle öffnen</x:v>
      </x:c>
    </x:row>
    <x:row r="291" ht="64.80000305175781" hidden="0" customHeight="1">
      <x:c r="A291" s="10" t="str">
        <x:v>LINK-0290</x:v>
      </x:c>
      <x:c r="B291" s="10" t="n">
        <x:v>76</x:v>
      </x:c>
      <x:c r="C291" s="10" t="str">
        <x:v>QZBW-/BIOZBW-Gruppenzertifizierung (GZ) und Qualitätsmanagementsystem (QMS)</x:v>
      </x:c>
      <x:c r="D291" s="10" t="str">
        <x:v>Lizenznehmer-Prüf- und Weiterleitungsdaten</x:v>
      </x:c>
      <x:c r="E291" s="10" t="str">
        <x:v>Grundlagendokument</x:v>
      </x:c>
      <x:c r="F291" s="10" t="str">
        <x:v>QZBW – Teilnahmevereinbarung Gruppenzertifizierung, Stand 2023</x:v>
      </x:c>
      <x:c r="G291" s="10" t="str">
        <x:v>https://mbw.imageplant.de/</x:v>
      </x:c>
      <x:c r="H291" s="10" t="e">
        <x:f>HYPERLINK("https://mbw.imageplant.de/","Quelle öffnen")</x:f>
        <x:v>HYPERLINK is not implemented. linkLocation=https://mbw.imageplant.de/, friendlyName=Quelle öffnen</x:v>
      </x:c>
    </x:row>
    <x:row r="292" ht="64.80000305175781" hidden="0" customHeight="1">
      <x:c r="A292" s="10" t="str">
        <x:v>LINK-0291</x:v>
      </x:c>
      <x:c r="B292" s="10" t="n">
        <x:v>76</x:v>
      </x:c>
      <x:c r="C292" s="10" t="str">
        <x:v>QZBW-/BIOZBW-Gruppenzertifizierung (GZ) und Qualitätsmanagementsystem (QMS)</x:v>
      </x:c>
      <x:c r="D292" s="10" t="str">
        <x:v>Lizenznehmer-Prüf- und Weiterleitungsdaten</x:v>
      </x:c>
      <x:c r="E292" s="10" t="str">
        <x:v>Grundlagendokument</x:v>
      </x:c>
      <x:c r="F292" s="10" t="str">
        <x:v>BIOZBW – Programmbestimmungen, Stand 01.01.2026</x:v>
      </x:c>
      <x:c r="G292" s="10" t="str">
        <x:v>https://mbw.imageplant.de/</x:v>
      </x:c>
      <x:c r="H292" s="10" t="e">
        <x:f>HYPERLINK("https://mbw.imageplant.de/","Quelle öffnen")</x:f>
        <x:v>HYPERLINK is not implemented. linkLocation=https://mbw.imageplant.de/, friendlyName=Quelle öffnen</x:v>
      </x:c>
    </x:row>
    <x:row r="293" ht="75.5999984741211" hidden="0" customHeight="1">
      <x:c r="A293" s="10" t="str">
        <x:v>LINK-0292</x:v>
      </x:c>
      <x:c r="B293" s="10" t="n">
        <x:v>76</x:v>
      </x:c>
      <x:c r="C293" s="10" t="str">
        <x:v>QZBW-/BIOZBW-Gruppenzertifizierung (GZ) und Qualitätsmanagementsystem (QMS)</x:v>
      </x:c>
      <x:c r="D293" s="10" t="str">
        <x:v>Lizenznehmer-Prüf- und Weiterleitungsdaten</x:v>
      </x:c>
      <x:c r="E293" s="10" t="str">
        <x:v>Grundlagendokument</x:v>
      </x:c>
      <x:c r="F293" s="10" t="str">
        <x:v>Verordnung (EU) 2018/848</x:v>
      </x:c>
      <x:c r="G293" s="10" t="str">
        <x:v>https://eur-lex.europa.eu/eli/reg/2018/848/oj?locale=de</x:v>
      </x:c>
      <x:c r="H293" s="10" t="e">
        <x:f>HYPERLINK("https://eur-lex.europa.eu/eli/reg/2018/848/oj?locale=de","Quelle öffnen")</x:f>
        <x:v>HYPERLINK is not implemented. linkLocation=https://eur-lex.europa.eu/eli/reg/2018/848/oj?locale=de, friendlyName=Quelle öffnen</x:v>
      </x:c>
    </x:row>
    <x:row r="294" ht="86.4000015258789" hidden="0" customHeight="1">
      <x:c r="A294" s="10" t="str">
        <x:v>LINK-0293</x:v>
      </x:c>
      <x:c r="B294" s="10" t="n">
        <x:v>76</x:v>
      </x:c>
      <x:c r="C294" s="10" t="str">
        <x:v>QZBW-/BIOZBW-Gruppenzertifizierung (GZ) und Qualitätsmanagementsystem (QMS)</x:v>
      </x:c>
      <x:c r="D294" s="10" t="str">
        <x:v>Lizenznehmer-Prüf- und Weiterleitungsdaten</x:v>
      </x:c>
      <x:c r="E294" s="10" t="str">
        <x:v>Grundlagendokument</x:v>
      </x:c>
      <x:c r="F294" s="10" t="str">
        <x:v>Delegierte Verordnung (EU) 2021/715</x:v>
      </x:c>
      <x:c r="G294" s="10" t="str">
        <x:v>https://eur-lex.europa.eu/legal-content/DE/ALL/?uri=CELEX:32021R0715</x:v>
      </x:c>
      <x:c r="H294" s="10" t="e">
        <x:f>HYPERLINK("https://eur-lex.europa.eu/legal-content/DE/ALL/?uri=CELEX:32021R0715","Quelle öffnen")</x:f>
        <x:v>HYPERLINK is not implemented. linkLocation=https://eur-lex.europa.eu/legal-content/DE/ALL/?uri=CELEX:32021R0715, friendlyName=Quelle öffnen</x:v>
      </x:c>
    </x:row>
    <x:row r="295" ht="86.4000015258789" hidden="0" customHeight="1">
      <x:c r="A295" s="10" t="str">
        <x:v>LINK-0294</x:v>
      </x:c>
      <x:c r="B295" s="10" t="n">
        <x:v>76</x:v>
      </x:c>
      <x:c r="C295" s="10" t="str">
        <x:v>QZBW-/BIOZBW-Gruppenzertifizierung (GZ) und Qualitätsmanagementsystem (QMS)</x:v>
      </x:c>
      <x:c r="D295" s="10" t="str">
        <x:v>Lizenznehmer-Prüf- und Weiterleitungsdaten</x:v>
      </x:c>
      <x:c r="E295" s="10" t="str">
        <x:v>Grundlagendokument</x:v>
      </x:c>
      <x:c r="F295" s="10" t="str">
        <x:v>Durchführungsverordnung (EU) 2021/279</x:v>
      </x:c>
      <x:c r="G295" s="10" t="str">
        <x:v>https://eur-lex.europa.eu/legal-content/DE/ALL/?uri=CELEX:32021R0279</x:v>
      </x:c>
      <x:c r="H295" s="10" t="e">
        <x:f>HYPERLINK("https://eur-lex.europa.eu/legal-content/DE/ALL/?uri=CELEX:32021R0279","Quelle öffnen")</x:f>
        <x:v>HYPERLINK is not implemented. linkLocation=https://eur-lex.europa.eu/legal-content/DE/ALL/?uri=CELEX:32021R0279, friendlyName=Quelle öffnen</x:v>
      </x:c>
    </x:row>
    <x:row r="296" ht="64.80000305175781" hidden="0" customHeight="1">
      <x:c r="A296" s="10" t="str">
        <x:v>LINK-0295</x:v>
      </x:c>
      <x:c r="B296" s="10" t="n">
        <x:v>77</x:v>
      </x:c>
      <x:c r="C296" s="10" t="str">
        <x:v>QZBW-/BIOZBW-Gruppenzertifizierung (GZ) und Qualitätsmanagementsystem (QMS)</x:v>
      </x:c>
      <x:c r="D296" s="10" t="str">
        <x:v>BIOZBW-Eigenkontroll- und Produktpaket</x:v>
      </x:c>
      <x:c r="E296" s="10" t="str">
        <x:v>Grundlagendokument</x:v>
      </x:c>
      <x:c r="F296" s="10" t="str">
        <x:v>BIOZBW – Programmbestimmungen, Stand 01.01.2026</x:v>
      </x:c>
      <x:c r="G296" s="10" t="str">
        <x:v>https://mbw.imageplant.de/</x:v>
      </x:c>
      <x:c r="H296" s="10" t="e">
        <x:f>HYPERLINK("https://mbw.imageplant.de/","Quelle öffnen")</x:f>
        <x:v>HYPERLINK is not implemented. linkLocation=https://mbw.imageplant.de/, friendlyName=Quelle öffnen</x:v>
      </x:c>
    </x:row>
    <x:row r="297" ht="64.80000305175781" hidden="0" customHeight="1">
      <x:c r="A297" s="10" t="str">
        <x:v>LINK-0296</x:v>
      </x:c>
      <x:c r="B297" s="10" t="n">
        <x:v>78</x:v>
      </x:c>
      <x:c r="C297" s="10" t="str">
        <x:v>QZBW-/BIOZBW-Gruppenzertifizierung (GZ) und Qualitätsmanagementsystem (QMS)</x:v>
      </x:c>
      <x:c r="D297" s="10" t="str">
        <x:v>BIOZBW-Lizenznehmer-Jahresmeldung</x:v>
      </x:c>
      <x:c r="E297" s="10" t="str">
        <x:v>Grundlagendokument</x:v>
      </x:c>
      <x:c r="F297" s="10" t="str">
        <x:v>BIOZBW – Programmbestimmungen, Stand 01.01.2026</x:v>
      </x:c>
      <x:c r="G297" s="10" t="str">
        <x:v>https://mbw.imageplant.de/</x:v>
      </x:c>
      <x:c r="H297" s="10" t="e">
        <x:f>HYPERLINK("https://mbw.imageplant.de/","Quelle öffnen")</x:f>
        <x:v>HYPERLINK is not implemented. linkLocation=https://mbw.imageplant.de/, friendlyName=Quelle öffnen</x:v>
      </x:c>
    </x:row>
    <x:row r="298" ht="64.80000305175781" hidden="0" customHeight="1">
      <x:c r="A298" s="11" t="str">
        <x:v>LINK-0297</x:v>
      </x:c>
      <x:c r="B298" s="11" t="n">
        <x:v>79</x:v>
      </x:c>
      <x:c r="C298" s="11" t="str">
        <x:v>QZBW-/BIOZBW-Gruppenzertifizierung (GZ) und Qualitätsmanagementsystem (QMS)</x:v>
      </x:c>
      <x:c r="D298" s="11" t="str">
        <x:v>BIOZBW-Kontrollstellen-Ergebnismeldung</x:v>
      </x:c>
      <x:c r="E298" s="11" t="str">
        <x:v>Grundlagendokument</x:v>
      </x:c>
      <x:c r="F298" s="11" t="str">
        <x:v>BIOZBW – Programmbestimmungen, Stand 01.01.2026</x:v>
      </x:c>
      <x:c r="G298" s="11" t="str">
        <x:v>https://mbw.imageplant.de/</x:v>
      </x:c>
      <x:c r="H298" s="11" t="e">
        <x:f>HYPERLINK("https://mbw.imageplant.de/","Quelle öffnen")</x:f>
        <x:v>HYPERLINK is not implemented. linkLocation=https://mbw.imageplant.de/, friendlyName=Quelle öffnen</x:v>
      </x:c>
    </x:row>
  </x:sheetData>
  <x:pageMargins left="0.7" right="0.7" top="0.75" bottom="0.75" header="0.3" footer="0.3"/>
</x:worksheet>
</file>