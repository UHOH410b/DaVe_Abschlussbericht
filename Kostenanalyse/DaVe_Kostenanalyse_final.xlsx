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8b1b588c1b794757" /></Relationships>
</file>

<file path=xl/workbook.xml><?xml version="1.0" encoding="utf-8"?>
<x:workbook xmlns:x="http://schemas.openxmlformats.org/spreadsheetml/2006/main">
  <x:sheets>
    <x:sheet xmlns:r="http://schemas.openxmlformats.org/officeDocument/2006/relationships" name="Anford_QZBW_zert_spez" sheetId="8" r:id="Rc850eb86a32a48fb"/>
    <x:sheet xmlns:r="http://schemas.openxmlformats.org/officeDocument/2006/relationships" name="Anford_BioZBW_zert_spez" sheetId="9" r:id="Re4cbc7be7c074952"/>
    <x:sheet xmlns:r="http://schemas.openxmlformats.org/officeDocument/2006/relationships" name="Kostenrechnung" sheetId="3" r:id="Rd5440922e5b34bdf"/>
    <x:sheet xmlns:r="http://schemas.openxmlformats.org/officeDocument/2006/relationships" name="Quellen" sheetId="4" r:id="R61759dbb3e244030"/>
    <x:sheet xmlns:r="http://schemas.openxmlformats.org/officeDocument/2006/relationships" name="Annahmen" sheetId="5" r:id="R6f2c98459b6043f0"/>
    <x:sheet xmlns:r="http://schemas.openxmlformats.org/officeDocument/2006/relationships" name="SankeyMATIC-Codes" sheetId="7" r:id="Ref102f2ac0244313"/>
  </x:sheets>
</x:workbook>
</file>

<file path=xl/sharedStrings.xml><?xml version="1.0" encoding="utf-8"?>
<x:sst xmlns:x="http://schemas.openxmlformats.org/spreadsheetml/2006/main">
  <x:si>
    <x:t xml:space="preserve">ID</x:t>
  </x:si>
  <x:si>
    <x:t xml:space="preserve">Programm</x:t>
  </x:si>
  <x:si>
    <x:t xml:space="preserve">Akteur</x:t>
  </x:si>
  <x:si>
    <x:t xml:space="preserve">Rolle</x:t>
  </x:si>
  <x:si>
    <x:t xml:space="preserve">Prozesskategorie</x:t>
  </x:si>
  <x:si>
    <x:t xml:space="preserve">Administrative Tätigkeit (Objekt + Verb)</x:t>
  </x:si>
  <x:si>
    <x:t xml:space="preserve">Fachliche Anforderung / erforderlicher Nachweis</x:t>
  </x:si>
  <x:si>
    <x:t xml:space="preserve">Häufigkeit</x:t>
  </x:si>
  <x:si>
    <x:t xml:space="preserve">Fallzahl / Bezugsgröße</x:t>
  </x:si>
  <x:si>
    <x:t xml:space="preserve">Zeitaufwand je Vorgang (Min.)</x:t>
  </x:si>
  <x:si>
    <x:t xml:space="preserve">Gesamter Zeitaufwand (Std.)</x:t>
  </x:si>
  <x:si>
    <x:t xml:space="preserve">Stundensatz (EUR/Std.)</x:t>
  </x:si>
  <x:si>
    <x:t xml:space="preserve">Arbeitszeitkosten (EUR)</x:t>
  </x:si>
  <x:si>
    <x:t xml:space="preserve">Quelldokument</x:t>
  </x:si>
  <x:si>
    <x:t xml:space="preserve">Genaue Fundstelle</x:t>
  </x:si>
  <x:si>
    <x:t xml:space="preserve">Wörtliches Zitat</x:t>
  </x:si>
  <x:si>
    <x:t xml:space="preserve">QZ-0001</x:t>
  </x:si>
  <x:si>
    <x:t xml:space="preserve">QZBW</x:t>
  </x:si>
  <x:si>
    <x:t xml:space="preserve">Traubenerzeuger / landwirtschaftlicher Betrieb</x:t>
  </x:si>
  <x:si>
    <x:t xml:space="preserve">Traubenerzeuger; Bezugsform: Gruppe</x:t>
  </x:si>
  <x:si>
    <x:t xml:space="preserve">Verträge</x:t>
  </x:si>
  <x:si>
    <x:t xml:space="preserve">Teilnahmevereinbarung mit der Erzeugergruppe prüfen, unterzeichnen und übermitteln</x:t>
  </x:si>
  <x:si>
    <x:t xml:space="preserve">Unterzeichnete Teilnahmevereinbarung zwischen Traubenerzeuger und Erzeugergruppe</x:t>
  </x:si>
  <x:si>
    <x:t xml:space="preserve">einmalig</x:t>
  </x:si>
  <x:si>
    <x:t xml:space="preserve">QZBW – Teilnahmevereinbarung Gruppenzertifizierung (pflanzliche Bereiche), Stand 2023</x:t>
  </x:si>
  <x:si>
    <x:t xml:space="preserve">S. 1, Ziff. I.1; S. 2, Ziff. I.11</x:t>
  </x:si>
  <x:si>
    <x:t xml:space="preserve">Der Erzeugerbetrieb erklärt seine Teilnahme am Gruppenzertifizierungssystem des oben genannten gruppenführenden Unternehmens. […] Mit dieser Erklärung treten alle früheren einzelbetrieblichen Teilnahmevereinbarungen des Erzeugers gegenüber einem Lizenznehmer […] außer Kraft.</x:t>
  </x:si>
  <x:si>
    <x:t xml:space="preserve">QZ-0002</x:t>
  </x:si>
  <x:si>
    <x:t xml:space="preserve">Ausfüllen von Checklisten und Formulare</x:t>
  </x:si>
  <x:si>
    <x:t xml:space="preserve">Eigenkontroll-Checkliste des landwirtschaftlichen Betriebs ausfüllen und ablegen</x:t>
  </x:si>
  <x:si>
    <x:t xml:space="preserve">Vollständig bearbeitete Eigenkontroll-Checkliste des landwirtschaftlichen Betriebs</x:t>
  </x:si>
  <x:si>
    <x:t xml:space="preserve">QZBW – Programmbestimmungen, Stand 01.01.2025</x:t>
  </x:si>
  <x:si>
    <x:t xml:space="preserve">Programmbestimmungen QZBW 2025, S. 14, Abschnitt 5.5</x:t>
  </x:si>
  <x:si>
    <x:t xml:space="preserve">Die Eigenkontrolle ist obligatorischer Bestandteil des Qualitätssicherungskonzeptes im „System Qualitätszeichen Baden-Württemberg“. Alle Teilnehmer müssen die Durchführung der Eigenkontrolle dokumentieren und nachweisen.</x:t>
  </x:si>
  <x:si>
    <x:t xml:space="preserve">QZ-0003</x:t>
  </x:si>
  <x:si>
    <x:t xml:space="preserve">GVO-Freiheitsbescheinigung ausfüllen beziehungsweise einholen und zusammen mit den zugehörigen Nachweisen ablegen</x:t>
  </x:si>
  <x:si>
    <x:t xml:space="preserve">Vollständiger Nachweis der GVO-Freiheit einschließlich Bescheinigung und zugehöriger Unterlagen</x:t>
  </x:si>
  <x:si>
    <x:t xml:space="preserve">QZBW – Zusatzanforderungen Wein 2025; Bescheinigung über GVO-Freiheit</x:t>
  </x:si>
  <x:si>
    <x:t xml:space="preserve">QZBW ZA Wein 2025, S. 3, Abschnitt Gentechnik</x:t>
  </x:si>
  <x:si>
    <x:t xml:space="preserve">Produkte mit dem Qualitätszeichen müssen die Anforderungen für die Kennzeichnung „Ohne Gentechnik“ erfüllen.</x:t>
  </x:si>
  <x:si>
    <x:t xml:space="preserve">QZ-0004</x:t>
  </x:si>
  <x:si>
    <x:t xml:space="preserve">Datenschutzhinweise zur Teilnahmevereinbarung lesen und unterzeichnen</x:t>
  </x:si>
  <x:si>
    <x:t xml:space="preserve">Dokumentierte Kenntnisnahme der Datenschutzhinweise zur Teilnahmevereinbarung</x:t>
  </x:si>
  <x:si>
    <x:t xml:space="preserve">QZBW – Datenschutzhinweise zur Teilnahmevereinbarung, Stand 02.07.2021</x:t>
  </x:si>
  <x:si>
    <x:t xml:space="preserve">Datenschutzhinweise Teilnahmevereinbarung QZBW, S. 1, Abschnitt 4</x:t>
  </x:si>
  <x:si>
    <x:t xml:space="preserve">Ihre personenbezogenen Daten werden erhoben, um die Teilnahmevereinbarung abschließen und erfüllen zu können.</x:t>
  </x:si>
  <x:si>
    <x:t xml:space="preserve">QZ-0016</x:t>
  </x:si>
  <x:si>
    <x:t xml:space="preserve">Genossenschaft / zentrale Einrichtung / Zeichennutzer</x:t>
  </x:si>
  <x:si>
    <x:t xml:space="preserve">Administrative Tätigkeiten im QMS der Erzeugergruppe</x:t>
  </x:si>
  <x:si>
    <x:t xml:space="preserve">Teilnahmevereinbarung mit dem Gruppenmitglied ausfüllen, unterzeichnen und ablegen</x:t>
  </x:si>
  <x:si>
    <x:t xml:space="preserve">Unterzeichnete Teilnahmevereinbarung mit dem Gruppenmitglied</x:t>
  </x:si>
  <x:si>
    <x:t xml:space="preserve">QZBW – Anforderungen an Erzeugergruppen, Stand 01.01.2023</x:t>
  </x:si>
  <x:si>
    <x:t xml:space="preserve">Anforderungen an Erzeugergruppen 2023, S. 5, Abschnitt 3.2.1</x:t>
  </x:si>
  <x:si>
    <x:t xml:space="preserve">Die Erzeugergruppe hat mit jedem Mitglied eine gültige Teilnahmevereinbarung QZBW abgeschlossen.</x:t>
  </x:si>
  <x:si>
    <x:t xml:space="preserve">QZ-0017</x:t>
  </x:si>
  <x:si>
    <x:t xml:space="preserve">Administrative Tätigkeiten als Zeichennutzer</x:t>
  </x:si>
  <x:si>
    <x:t xml:space="preserve">Zeichennutzungsvertrag lesen, unterzeichnen und ablegen</x:t>
  </x:si>
  <x:si>
    <x:t xml:space="preserve">Unterzeichneter Zeichennutzungsvertrag</x:t>
  </x:si>
  <x:si>
    <x:t xml:space="preserve">Programmbestimmungen QZBW 2025, S. 34, Abschnitt 10.2</x:t>
  </x:si>
  <x:si>
    <x:t xml:space="preserve">Die Teilnahme als Zeichennutzer ist nur auf der Grundlage eines Zeichennutzungsvertrages mit einem Lizenznehmer möglich.</x:t>
  </x:si>
  <x:si>
    <x:t xml:space="preserve">QZ-0018</x:t>
  </x:si>
  <x:si>
    <x:t xml:space="preserve">Datenschutzhinweise zum Zeichennutzungsvertrag lesen und unterzeichnen</x:t>
  </x:si>
  <x:si>
    <x:t xml:space="preserve">Dokumentierte Kenntnisnahme der Datenschutzhinweise zum Zeichennutzungsvertrag</x:t>
  </x:si>
  <x:si>
    <x:t xml:space="preserve">QZBW – Datenschutzhinweise zum Zeichennutzungsvertrag, Stand 02.07.2021</x:t>
  </x:si>
  <x:si>
    <x:t xml:space="preserve">Datenschutzhinweise Zeichennutzungsvertrag QZBW, S. 1, Abschnitt 4</x:t>
  </x:si>
  <x:si>
    <x:t xml:space="preserve">Ihre personenbezogenen Daten werden verarbeitet, um den Zeichennutzungsvertrag abschließen und erfüllen zu können.</x:t>
  </x:si>
  <x:si>
    <x:t xml:space="preserve">QZ-0019</x:t>
  </x:si>
  <x:si>
    <x:t xml:space="preserve">Excel-Meldedatei für jedes Gruppenmitglied ausfüllen und übermitteln</x:t>
  </x:si>
  <x:si>
    <x:t xml:space="preserve">Vollständige Excel-Meldedatei für jedes Gruppenmitglied</x:t>
  </x:si>
  <x:si>
    <x:t xml:space="preserve">Anforderungen an Erzeugergruppen 2023, S. 6, Abschnitt 3.2.3. Die Richtlinie verlangt das aktuelle Mitgliederverzeichnis, jedoch nicht wörtlich das Dateiformat Excel.</x:t>
  </x:si>
  <x:si>
    <x:t xml:space="preserve">Die Erzeugergruppe hat ein Mitgleiderverzeichnis mit folgenden Stammdaten zu führen: […]</x:t>
  </x:si>
  <x:si>
    <x:t xml:space="preserve">QZ-0020</x:t>
  </x:si>
  <x:si>
    <x:t xml:space="preserve">Eigenkontrolle als Zeichennutzer</x:t>
  </x:si>
  <x:si>
    <x:t xml:space="preserve">Eigenkontrollcheckliste des Zeichennutzers ausfüllen und ablegen</x:t>
  </x:si>
  <x:si>
    <x:t xml:space="preserve">Vollständig bearbeitete Eigenkontrollcheckliste des Zeichennutzers</x:t>
  </x:si>
  <x:si>
    <x:t xml:space="preserve">QZBW – Eigenkontrolle Zeichennutzer: Wein, Sekt und Perlwein, Version 2024</x:t>
  </x:si>
  <x:si>
    <x:t xml:space="preserve">Eigenkontrolle Zeichennutzer – Wein 2024, S. 1, Abschnitt 1.2</x:t>
  </x:si>
  <x:si>
    <x:t xml:space="preserve">Zur Einhaltung der QZBW-Bestimmungen regelmäßig (mind. jährlich) durchgeführt und dokumentiert (Eigenkontrollchecklisten aufbewahrt).</x:t>
  </x:si>
  <x:si>
    <x:t xml:space="preserve">QZ-0021</x:t>
  </x:si>
  <x:si>
    <x:t xml:space="preserve">Interne Prüfungen innerhalb der Gruppe</x:t>
  </x:si>
  <x:si>
    <x:t xml:space="preserve">Eigenkontrollcheckliste des Traubenerzeugers prüfen und Prüfergebnis dokumentieren</x:t>
  </x:si>
  <x:si>
    <x:t xml:space="preserve">Geprüfte Eigenkontrollcheckliste des Traubenerzeugers</x:t>
  </x:si>
  <x:si>
    <x:t xml:space="preserve">Anforderungen an Erzeugergruppen 2023, S. 8, Abschnitt 4.1.1</x:t>
  </x:si>
  <x:si>
    <x:t xml:space="preserve">Die Einhaltung der Anforderungen muss über ein qualifiziertes internes Audit bzw. Kontrolle mindestens einmal je Kalenderjahr überprüft und anhand einer Checkliste dokumentiert werden.</x:t>
  </x:si>
  <x:si>
    <x:t xml:space="preserve">QZ-0022</x:t>
  </x:si>
  <x:si>
    <x:t xml:space="preserve">Maßnahmenpläne prüfen und Prüfergebnis dokumentieren</x:t>
  </x:si>
  <x:si>
    <x:t xml:space="preserve">Geprüfte Maßnahmenpläne</x:t>
  </x:si>
  <x:si>
    <x:t xml:space="preserve">Anforderungen an Erzeugergruppen 2023, S. 9, Abschnitt 4.2.1; Schreibweise „inklusiv“ entspricht dem Original</x:t>
  </x:si>
  <x:si>
    <x:t xml:space="preserve">Für alle in internen Audits/Kontrollen festgestellten C- und D-Bewertungen sind Korrekturmaßnahmen inklusiv angemessener Fristen eingetragen.</x:t>
  </x:si>
  <x:si>
    <x:t xml:space="preserve">QZ-0023</x:t>
  </x:si>
  <x:si>
    <x:t xml:space="preserve">Pflanzenschutzaufzeichnungen prüfen und Prüfergebnis dokumentieren</x:t>
  </x:si>
  <x:si>
    <x:t xml:space="preserve">Geprüfte Pflanzenschutzaufzeichnungen</x:t>
  </x:si>
  <x:si>
    <x:t xml:space="preserve">Anforderungen an Erzeugergruppen 2023, S. 8, Abschnitt 4.1.2; umfasst die anwendbaren Pflanzenschutzanforderungen</x:t>
  </x:si>
  <x:si>
    <x:t xml:space="preserve">Interne Checklisten müssen alle anwendbaren Standardanforderungen enthalten.</x:t>
  </x:si>
  <x:si>
    <x:t xml:space="preserve">QZ-0024</x:t>
  </x:si>
  <x:si>
    <x:t xml:space="preserve">Düngemittelaufzeichnungen prüfen und Prüfergebnis dokumentieren</x:t>
  </x:si>
  <x:si>
    <x:t xml:space="preserve">Geprüfte Düngemittelaufzeichnungen</x:t>
  </x:si>
  <x:si>
    <x:t xml:space="preserve">Anforderungen an Erzeugergruppen 2023, S. 8, Abschnitt 4.1.2; umfasst die anwendbaren Düngemittelanforderungen</x:t>
  </x:si>
  <x:si>
    <x:t xml:space="preserve">QZ-0025</x:t>
  </x:si>
  <x:si>
    <x:t xml:space="preserve">Rückverfolgbarkeits- und Plausibilitätsprüfung</x:t>
  </x:si>
  <x:si>
    <x:t xml:space="preserve">Ernteaufzeichnungen prüfen und Prüfergebnis dokumentieren</x:t>
  </x:si>
  <x:si>
    <x:t xml:space="preserve">Geprüfte Ernteaufzeichnungen</x:t>
  </x:si>
  <x:si>
    <x:t xml:space="preserve">Anforderungen an Erzeugergruppen 2023, S. 10, Abschnitt 6.1.4</x:t>
  </x:si>
  <x:si>
    <x:t xml:space="preserve">Es muss von der Erzeugergruppe überprüft und dokumentiert werden, dass die Zukaufsmengen mit den Erntemengen der angegebenen Flächen der Mitglieder korrespondieren.</x:t>
  </x:si>
  <x:si>
    <x:t xml:space="preserve">QZ-0026</x:t>
  </x:si>
  <x:si>
    <x:t xml:space="preserve">Verkaufszahlen prüfen und Prüfergebnis dokumentieren</x:t>
  </x:si>
  <x:si>
    <x:t xml:space="preserve">Geprüfte Verkaufszahlen</x:t>
  </x:si>
  <x:si>
    <x:t xml:space="preserve">Anforderungen an Erzeugergruppen 2023, S. 10, Abschnitt 6.1.2; belegt die Warenausgangs-/Mengenprüfung, nicht wörtlich eine eigenständige Verkaufszahlenliste</x:t>
  </x:si>
  <x:si>
    <x:t xml:space="preserve">Die Prüfung der Rückverfolgbarkeit aller Waren ist an einem Beispiel aus der Produktion oder dem Warenausgang […] durchzuführen. Das System muss mindestens jährlich getestet werden. Der Test ist zu dokumentieren.</x:t>
  </x:si>
  <x:si>
    <x:t xml:space="preserve">QZ-0027</x:t>
  </x:si>
  <x:si>
    <x:t xml:space="preserve">Flächenangaben prüfen und Prüfergebnis dokumentieren</x:t>
  </x:si>
  <x:si>
    <x:t xml:space="preserve">Geprüfte Flächenangaben</x:t>
  </x:si>
  <x:si>
    <x:t xml:space="preserve">Anforderungen an Erzeugergruppen 2023, S. 6, Abschnitt 3.2.3; die vorherige Aufzählung nennt aktuelle Anbauflächen und Hektarwerte</x:t>
  </x:si>
  <x:si>
    <x:t xml:space="preserve">Änderungen der oben genannten Daten sind der Erzeugergruppe durch das Mitglied unverzüglich mitzuteilen. Das Verzeichnis ist aktuell zu halten.</x:t>
  </x:si>
  <x:si>
    <x:t xml:space="preserve">QZ-0028</x:t>
  </x:si>
  <x:si>
    <x:t xml:space="preserve">Lieferscheine prüfen und Prüfergebnis dokumentieren</x:t>
  </x:si>
  <x:si>
    <x:t xml:space="preserve">Geprüfte Lieferscheine</x:t>
  </x:si>
  <x:si>
    <x:t xml:space="preserve">Anforderungen an Erzeugergruppen 2023, S. 10, Abschnitt 6.1.1; Lieferscheine sind ein betrieblicher Nachweis, werden hier aber nicht ausdrücklich genannt</x:t>
  </x:si>
  <x:si>
    <x:t xml:space="preserve">Die Erzeugergruppe verfügt über ein dokumentiertes Verfahren, das sicherstellt, dass Produkte bis zum Erzeuger rückverfolgbar sind. Die Transparenz des Warenflusses ist nachzuweisen.</x:t>
  </x:si>
  <x:si>
    <x:t xml:space="preserve">QZ-0029</x:t>
  </x:si>
  <x:si>
    <x:t xml:space="preserve">Wareneingangsdokumente prüfen und Prüfergebnis dokumentieren</x:t>
  </x:si>
  <x:si>
    <x:t xml:space="preserve">Geprüfte Wareneingangsdokumente</x:t>
  </x:si>
  <x:si>
    <x:t xml:space="preserve">Anforderungen an Erzeugergruppen 2023, S. 10, Abschnitt 6.1.5</x:t>
  </x:si>
  <x:si>
    <x:t xml:space="preserve">Die Wareneingangskontrollen sind anhand interner Vorgaben durchzuführen und zu dokumentieren.</x:t>
  </x:si>
  <x:si>
    <x:t xml:space="preserve">QZ-0030</x:t>
  </x:si>
  <x:si>
    <x:t xml:space="preserve">Rechnungsunterlagen prüfen und Prüfergebnis dokumentieren</x:t>
  </x:si>
  <x:si>
    <x:t xml:space="preserve">Geprüfte Rechnungsunterlagen</x:t>
  </x:si>
  <x:si>
    <x:t xml:space="preserve">Programmbestimmungen QZBW 2025, S. 34, Abschnitt 10.1; die Richtlinie nennt Rechnungen als Programmnachweis, nicht eine gesonderte interne Rechnungsprüfung</x:t>
  </x:si>
  <x:si>
    <x:t xml:space="preserve">Der Erzeuger darf seine selbst erzeugten Agrarerzeugnisse nur im direkten Handelsverkehr mit Wiederverkäufern (Zeichennutzern) als Programmware bezeichnen, z. B. auf Rechnungen und Lieferscheinen.</x:t>
  </x:si>
  <x:si>
    <x:t xml:space="preserve">QZ-0031</x:t>
  </x:si>
  <x:si>
    <x:t xml:space="preserve">Festlegung und Nachverfolgung von Korrekturmaßnahmen</x:t>
  </x:si>
  <x:si>
    <x:t xml:space="preserve">Korrekturmaßnahmen definieren und Umsetzungsfristen dokumentieren</x:t>
  </x:si>
  <x:si>
    <x:t xml:space="preserve">Dokumentierte Korrekturmaßnahmen und Umsetzungsfristen</x:t>
  </x:si>
  <x:si>
    <x:t xml:space="preserve">bei Bedarf</x:t>
  </x:si>
  <x:si>
    <x:t xml:space="preserve">Anforderungen an Erzeugergruppen 2023, S. 9, Abschnitt 4.2.1</x:t>
  </x:si>
  <x:si>
    <x:t xml:space="preserve">QZ-0032</x:t>
  </x:si>
  <x:si>
    <x:t xml:space="preserve">Nachkontrolle durchführen und Ergebnis dokumentieren</x:t>
  </x:si>
  <x:si>
    <x:t xml:space="preserve">Dokumentiertes Ergebnis der Nachkontrolle</x:t>
  </x:si>
  <x:si>
    <x:t xml:space="preserve">Anforderungen an Erzeugergruppen 2023, S. 9, Abschnitt 4.2.2</x:t>
  </x:si>
  <x:si>
    <x:t xml:space="preserve">Die Umsetzung der Korrekturmaßnahmen muss dokumentiert werden.</x:t>
  </x:si>
  <x:si>
    <x:t xml:space="preserve">QZ-0042</x:t>
  </x:si>
  <x:si>
    <x:t xml:space="preserve">Kontroll-, Abweichungs- und Beschwerdedokumentation</x:t>
  </x:si>
  <x:si>
    <x:t xml:space="preserve">Beschwerden erfassen, untersuchen, klären und dokumentieren</x:t>
  </x:si>
  <x:si>
    <x:t xml:space="preserve">Vollständig bearbeitete und dokumentierte Beschwerden</x:t>
  </x:si>
  <x:si>
    <x:t xml:space="preserve">Anforderungen an Erzeugergruppen 2023, S. 9, Abschnitt 5.1.1</x:t>
  </x:si>
  <x:si>
    <x:t xml:space="preserve">Die Erzeugergruppe verfügt über ein dokumentiertes Beschwerdemanagement. Beschwerden/Reklamationen, die von der Zertifizierung abgedeckte Produkte oder Prozesse betreffen werden aufgezeichnet, untersucht und aufgeklärt.</x:t>
  </x:si>
  <x:si>
    <x:t xml:space="preserve">QZ-0043</x:t>
  </x:si>
  <x:si>
    <x:t xml:space="preserve">Kontroll- und Abweichungsprotokolle führen</x:t>
  </x:si>
  <x:si>
    <x:t xml:space="preserve">Vollständige Kontroll- und Abweichungsprotokolle</x:t>
  </x:si>
  <x:si>
    <x:t xml:space="preserve">Anforderungen an Erzeugergruppen 2023, S. 8, Abschnitt 4.1.3</x:t>
  </x:si>
  <x:si>
    <x:t xml:space="preserve">Die Berichte (ausgefüllte Checklisten) interner Audits/Kontrollen sind vollständig und aussagekräftig.</x:t>
  </x:si>
  <x:si>
    <x:t xml:space="preserve">QZ-0044</x:t>
  </x:si>
  <x:si>
    <x:t xml:space="preserve">Abweichungen kategorisieren und dokumentieren</x:t>
  </x:si>
  <x:si>
    <x:t xml:space="preserve">Einheitlich kategorisierte und dokumentierte Abweichungen</x:t>
  </x:si>
  <x:si>
    <x:t xml:space="preserve">Anforderungen an Erzeugergruppen 2023, S. 9, Abschnitt 4.2.1; belegt die Verwendung der Bewertungskategorien C und D</x:t>
  </x:si>
  <x:si>
    <x:t xml:space="preserve">QZ-0045</x:t>
  </x:si>
  <x:si>
    <x:t xml:space="preserve">QMS-Dokumentation und -lenkung</x:t>
  </x:si>
  <x:si>
    <x:t xml:space="preserve">QMS-Verfahren, Arbeitsanweisungen, Formulare und Aufzeichnungen ablegen, auf Aktualität prüfen und pflegen</x:t>
  </x:si>
  <x:si>
    <x:t xml:space="preserve">Aktuelle, versionierte und vollständig abgelegte QMS-Unterlagen der Erzeugergruppe</x:t>
  </x:si>
  <x:si>
    <x:t xml:space="preserve">fortlaufend</x:t>
  </x:si>
  <x:si>
    <x:t xml:space="preserve">S. 10-11, Abschnitte 7.1.1 und 7.1.2</x:t>
  </x:si>
  <x:si>
    <x:t xml:space="preserve">Das QMS muss durch Verfahren, Arbeitsanweisungen, Formulare und ggf. weitere Aufzeichnungen entsprechend seiner Größe angemessen dokumentiert sein. Die Dokumente werden regelmäßig auf Aktualität überprüft.</x:t>
  </x:si>
  <x:si>
    <x:t xml:space="preserve">QZ-0046</x:t>
  </x:si>
  <x:si>
    <x:t xml:space="preserve">Kontroll-/Zertifizierungsstelle</x:t>
  </x:si>
  <x:si>
    <x:t xml:space="preserve">Externe Kontrolle; Bezugsform: Gruppe</x:t>
  </x:si>
  <x:si>
    <x:t xml:space="preserve">Stichprobenkontrollen</x:t>
  </x:si>
  <x:si>
    <x:t xml:space="preserve">QMS einschließlich interner Kontrollen anhand der Unterlagen verifizieren und Ergebnis dokumentieren</x:t>
  </x:si>
  <x:si>
    <x:t xml:space="preserve">Verifiziertes QMS einschließlich interner Kontrollen</x:t>
  </x:si>
  <x:si>
    <x:t xml:space="preserve">Anforderungen an Erzeugergruppen 2023, S. 5, Abschnitt 3.1.4</x:t>
  </x:si>
  <x:si>
    <x:t xml:space="preserve">Das interne Kontrollsystem ist wirksam. Es stellt sicher, dass alle Standorte und alle Mitglieder die Standardanforderungen erfüllen.</x:t>
  </x:si>
  <x:si>
    <x:t xml:space="preserve">QZ-0047</x:t>
  </x:si>
  <x:si>
    <x:t xml:space="preserve">Kontrollstellenmeldung in der vorgegebenen Excel-Datei ausfüllen und übermitteln</x:t>
  </x:si>
  <x:si>
    <x:t xml:space="preserve">Vollständige Kontrollstellenmeldung in der vorgegebenen Excel-Datei</x:t>
  </x:si>
  <x:si>
    <x:t xml:space="preserve">Programmbestimmungen QZBW 2025, S. 39, Abschnitt 12.5. Die Richtlinie verlangt die Meldung der Prüfergebnisse, jedoch nicht wörtlich das Dateiformat Excel.</x:t>
  </x:si>
  <x:si>
    <x:t xml:space="preserve">Zertifizierungsstellen sind verpflichtet, die auditierten Betriebe sowie den verantwortlichen Lizenznehmer fortlaufend unverzüglich über alle Prüfergebnisse zu unterrichten.</x:t>
  </x:si>
  <x:si>
    <x:t xml:space="preserve">QZ-0052</x:t>
  </x:si>
  <x:si>
    <x:t xml:space="preserve">Archivierung von Nachweisen</x:t>
  </x:si>
  <x:si>
    <x:t xml:space="preserve">QZBW-Qualitätsnachweis beschaffen und für die Eigen- beziehungsweise Zertifizierungskontrolle bereithalten</x:t>
  </x:si>
  <x:si>
    <x:t xml:space="preserve">QZBW-Qualitätsnachweis für Wein, Sekt und Perlwein durch Gütezeichen beziehungsweise Qualitätsprüfung gemäß den Zusatzanforderungen Wein</x:t>
  </x:si>
  <x:si>
    <x:t xml:space="preserve">jährlich</x:t>
  </x:si>
  <x:si>
    <x:t xml:space="preserve">QZBW – Zusatzanforderungen Wein 2025</x:t>
  </x:si>
  <x:si>
    <x:t xml:space="preserve">S. 7, Abschnitt Qualitätsprüfungen</x:t>
  </x:si>
  <x:si>
    <x:t xml:space="preserve">„Der Qualitätsnachweis … erfolgt regelmäßig durch ein Gütezeichen bzw. durch die Qualitätsprüfung.“</x:t>
  </x:si>
  <x:si>
    <x:t xml:space="preserve">QZ-0053</x:t>
  </x:si>
  <x:si>
    <x:t xml:space="preserve">Mitglieder- und Zulassungsmanagement</x:t>
  </x:si>
  <x:si>
    <x:t xml:space="preserve">Verfahren zur Aufnahme neuer Mitglieder pflegen und Neuaufnahme dokumentieren</x:t>
  </x:si>
  <x:si>
    <x:t xml:space="preserve">Dokumentiertes Verfahren und vollständiger Nachweis der Aufnahme neuer Mitgliedsbetriebe</x:t>
  </x:si>
  <x:si>
    <x:t xml:space="preserve">bei Aufnahme</x:t>
  </x:si>
  <x:si>
    <x:t xml:space="preserve">QZBW - Anforderungen an Erzeugergruppen, Stand 01.01.2023</x:t>
  </x:si>
  <x:si>
    <x:t xml:space="preserve">S. 6, Abschnitt 3.2.4</x:t>
  </x:si>
  <x:si>
    <x:t xml:space="preserve">Es muss ein dokumentiertes Verfahren über die Aufnahme neuer Mitgliedsbetriebe geben.</x:t>
  </x:si>
  <x:si>
    <x:t xml:space="preserve">QZ-0054</x:t>
  </x:si>
  <x:si>
    <x:t xml:space="preserve">Qualifikation und Schulung</x:t>
  </x:si>
  <x:si>
    <x:t xml:space="preserve">Qualifikations-, Zulassungs- und Begleitnachweise interner Auditoren und Kontrolleure pflegen</x:t>
  </x:si>
  <x:si>
    <x:t xml:space="preserve">Aktuelle Qualifikations-, Zulassungs- und Begleitnachweise der internen Auditoren und Kontrolleure</x:t>
  </x:si>
  <x:si>
    <x:t xml:space="preserve">bei Benennung und Änderung</x:t>
  </x:si>
  <x:si>
    <x:t xml:space="preserve">S. 6-7, Abschnitte 3.3.1 und 3.3.2</x:t>
  </x:si>
  <x:si>
    <x:t xml:space="preserve">Bevor interne Audits/Kontrollen selbstständig durchgeführt werden, muss der interne Auditor/Kontrolleur mindestens ein/e Audit/Kontrolle als Beobachter begleitet haben.</x:t>
  </x:si>
  <x:si>
    <x:t xml:space="preserve">QZ-0055</x:t>
  </x:si>
  <x:si>
    <x:t xml:space="preserve">Schulungen planen sowie Inhalte und Teilnehmende dokumentieren</x:t>
  </x:si>
  <x:si>
    <x:t xml:space="preserve">Regelmäßige und vollständig dokumentierte Schulungen für Personal und Mitglieder</x:t>
  </x:si>
  <x:si>
    <x:t xml:space="preserve">S. 7, Abschnitt 3.3.3</x:t>
  </x:si>
  <x:si>
    <x:t xml:space="preserve">Die Mitarbeiter/das Personal und die Mitglieder der Erzeugergruppe werden regelmäßig geschult. Die Durchführung der Schulungen ist dokumentiert.</x:t>
  </x:si>
  <x:si>
    <x:t xml:space="preserve">QZ-0056</x:t>
  </x:si>
  <x:si>
    <x:t xml:space="preserve">Interne Audits terminieren und Auditzeitplan pflegen</x:t>
  </x:si>
  <x:si>
    <x:t xml:space="preserve">Fristgerechter und dokumentierter Zeitplan der internen Audits und Kontrollen</x:t>
  </x:si>
  <x:si>
    <x:t xml:space="preserve">S. 8, Abschnitte 4.1.5 bis 4.1.7</x:t>
  </x:si>
  <x:si>
    <x:t xml:space="preserve">Interne Audits/Kontrollen können in Teilaudits erfolgen. In diesem Fall muss ein Zeitplan vorliegen.</x:t>
  </x:si>
  <x:si>
    <x:t xml:space="preserve">QZ-0057</x:t>
  </x:si>
  <x:si>
    <x:t xml:space="preserve">Mitgliedsfreigabe im Vier-Augen-Prinzip prüfen und dokumentieren</x:t>
  </x:si>
  <x:si>
    <x:t xml:space="preserve">Dokumentierte Freigabe jedes Mitglieds im Vier-Augen-Prinzip</x:t>
  </x:si>
  <x:si>
    <x:t xml:space="preserve">jährlich je Mitglied</x:t>
  </x:si>
  <x:si>
    <x:t xml:space="preserve">S. 8, Abschnitt 4.1.8</x:t>
  </x:si>
  <x:si>
    <x:t xml:space="preserve">Diese Freigabe ist dokumentiert.</x:t>
  </x:si>
  <x:si>
    <x:t xml:space="preserve">QZ-0058</x:t>
  </x:si>
  <x:si>
    <x:t xml:space="preserve">Rückverfolgbarkeitssystem anhand eines Warenbeispiels testen und Ergebnis dokumentieren</x:t>
  </x:si>
  <x:si>
    <x:t xml:space="preserve">Mindestens jährlich getestetes und dokumentiertes Rückverfolgbarkeitssystem</x:t>
  </x:si>
  <x:si>
    <x:t xml:space="preserve">S. 10, Abschnitt 6.1.2</x:t>
  </x:si>
  <x:si>
    <x:t xml:space="preserve">Das System muss mindestens jährlich getestet werden. Der Test ist zu dokumentieren.</x:t>
  </x:si>
  <x:si>
    <x:t xml:space="preserve">QZ-0059</x:t>
  </x:si>
  <x:si>
    <x:t xml:space="preserve">Datenaufzeichnung und -pflege</x:t>
  </x:si>
  <x:si>
    <x:t xml:space="preserve">Warenflüsse zwischen QZBW- und Nicht-QZBW-Ware trennen und nachvollziehbar dokumentieren</x:t>
  </x:si>
  <x:si>
    <x:t xml:space="preserve">Nachvollziehbare Trennung der Warenflüsse zwischen QZBW- und Nicht-QZBW-Ware in der Weinbereitung</x:t>
  </x:si>
  <x:si>
    <x:t xml:space="preserve">jährlich (Modellannahme für fortlaufende Pflicht)</x:t>
  </x:si>
  <x:si>
    <x:t xml:space="preserve">QZBW – Zusatzanforderungen Wein, Stand 2025</x:t>
  </x:si>
  <x:si>
    <x:t xml:space="preserve">S. 7, Abschnitt III.6</x:t>
  </x:si>
  <x:si>
    <x:t xml:space="preserve">Wein, Sekt und Perlwein für die Vermarktung unter dem Qualitätszeichen ist eindeutig und nachvollziehbar zu kennzeichnen. Ware, die nicht unter dem Qualitätszeichen Baden-Württemberg vermarktet wird, ist im gesamten Betriebsablauf von der Programmware nachvollziehbar getrennt zu führen.</x:t>
  </x:si>
  <x:si>
    <x:t xml:space="preserve">QZ-0060</x:t>
  </x:si>
  <x:si>
    <x:t xml:space="preserve">Vorhandene Betriebsnachweise für das QMS zusammenstellen und der Erzeugergruppe übermitteln</x:t>
  </x:si>
  <x:si>
    <x:t xml:space="preserve">Vollständig zusammengestelltes und an die Erzeugergruppe übermitteltes QMS-Nachweispaket</x:t>
  </x:si>
  <x:si>
    <x:t xml:space="preserve">QZBW – Zusatzanforderungen Wein, Stand 2025; Teilnahmevereinbarung Gruppenzertifizierung, Stand 2023</x:t>
  </x:si>
  <x:si>
    <x:t xml:space="preserve">ZA Wein 2025, S. 6, Abschnitt Dokumentation; Teilnahmevereinbarung GZ 2023, S. 1, Ziff. I.4</x:t>
  </x:si>
  <x:si>
    <x:t xml:space="preserve">Vor Anlieferung der Ernte […] muss die Dokumentation (Betriebsheft) bei der jeweiligen genossenschaftlichen oder privaten Kellerei […] zur Prüfung vorgelegt werden.</x:t>
  </x:si>
  <x:si>
    <x:t xml:space="preserve">QZ-0061</x:t>
  </x:si>
  <x:si>
    <x:t xml:space="preserve">Umsetzung von Korrekturmaßnahmen dokumentieren und der Erzeugergruppe melden</x:t>
  </x:si>
  <x:si>
    <x:t xml:space="preserve">Dokumentierter Umsetzungsnachweis zu festgelegten Korrekturmaßnahmen und Mitteilung an die Erzeugergruppe</x:t>
  </x:si>
  <x:si>
    <x:t xml:space="preserve">S. 2, Ziff. I.4–5</x:t>
  </x:si>
  <x:si>
    <x:t xml:space="preserve">Bei […] im Rahmen der internen Kontrolle festgestellten Mängeln, geeignete Abhilfe- und Korrekturmaßnahmen einzuleiten und diese zu dokumentieren.</x:t>
  </x:si>
  <x:si>
    <x:t xml:space="preserve">QZ-0062</x:t>
  </x:si>
  <x:si>
    <x:t xml:space="preserve">Kontrollvertrag beziehungsweise Kontrollauftrag prüfen, unterzeichnen und ablegen</x:t>
  </x:si>
  <x:si>
    <x:t xml:space="preserve">Dokumentierte Beauftragung einer zugelassenen Zertifizierungsstelle für die externe Gruppenkontrolle</x:t>
  </x:si>
  <x:si>
    <x:t xml:space="preserve">S. 1, Ziff. I.4</x:t>
  </x:si>
  <x:si>
    <x:t xml:space="preserve">Die regelmäßige Inspektion, die Überwachung und ggf. die Zertifizierung erfolgen durch eine […] zugelassene Zertifizierungsstelle im Auftrag des gruppenführenden Unternehmens.</x:t>
  </x:si>
  <x:si>
    <x:t xml:space="preserve">QZ-0063</x:t>
  </x:si>
  <x:si>
    <x:t xml:space="preserve">QMS-Kontrollunterlagen zusammenstellen und der Zertifizierungsstelle bereitstellen</x:t>
  </x:si>
  <x:si>
    <x:t xml:space="preserve">Vollständiges, prüffähiges QMS-Kontrollpaket für die externe Zertifizierungsstelle</x:t>
  </x:si>
  <x:si>
    <x:t xml:space="preserve">S. 8, Abschnitt 4.1.3; S. 10–11, Abschnitte 7.1.1–7.1.2</x:t>
  </x:si>
  <x:si>
    <x:t xml:space="preserve">Die Berichte (ausgefüllte Checklisten) interner Audits/Kontrollen sind vollständig und aussagekräftig. Aufzeichnungen der Nachverfolgung von Korrekturmaßnahmen müssen vorliegen.</x:t>
  </x:si>
  <x:si>
    <x:t xml:space="preserve">QZ-0064</x:t>
  </x:si>
  <x:si>
    <x:t xml:space="preserve">Externen QMS-Kontrolltermin abstimmen und erforderliche Kontrollunterlagen anfordern</x:t>
  </x:si>
  <x:si>
    <x:t xml:space="preserve">Abgestimmter Termin und angefordertes Kontrollpaket für die externe QMS-Prüfung</x:t>
  </x:si>
  <x:si>
    <x:t xml:space="preserve">S. 8, Abschnitt 4.1.5</x:t>
  </x:si>
  <x:si>
    <x:t xml:space="preserve">Die internen Audits/Kontrollen müssen vor der externen (neutralen) Kontrolle durch die Zertifizierungsstelle abgeschlossen sein.</x:t>
  </x:si>
  <x:si>
    <x:t xml:space="preserve">QZ-0065</x:t>
  </x:si>
  <x:si>
    <x:t xml:space="preserve">Zertifizierungsentscheidung dokumentieren und Gruppenzertifikat beziehungsweise Zertifikatsdaten übermitteln</x:t>
  </x:si>
  <x:si>
    <x:t xml:space="preserve">Dokumentierte Zertifizierungsentscheidung und übermitteltes Gruppenzertifikat beziehungsweise Zertifikatsdaten</x:t>
  </x:si>
  <x:si>
    <x:t xml:space="preserve">QZBW – Programmbestimmungen, Stand 01.01.2025; Teilnahmevereinbarung Gruppenzertifizierung, Stand 2023</x:t>
  </x:si>
  <x:si>
    <x:t xml:space="preserve">Programmbestimmungen QZBW 2025, S. 9, Abschnitt 3.4</x:t>
  </x:si>
  <x:si>
    <x:t xml:space="preserve">Die Erzeugergruppe ist als juristische Einheit der Zertifikatinhaber und fungiert als Zeichennutzer.</x:t>
  </x:si>
  <x:si>
    <x:t xml:space="preserve">QZ-0066</x:t>
  </x:si>
  <x:si>
    <x:t xml:space="preserve">Gruppenzertifikat prüfen, intern zuordnen und im QMS ablegen</x:t>
  </x:si>
  <x:si>
    <x:t xml:space="preserve">Geprüftes und im QMS abgelegtes Gruppenzertifikat</x:t>
  </x:si>
  <x:si>
    <x:t xml:space="preserve">S. 9, Abschnitt 3.4</x:t>
  </x:si>
  <x:si>
    <x:t xml:space="preserve">QZ-0067</x:t>
  </x:si>
  <x:si>
    <x:t xml:space="preserve">Externer Lizenznehmer</x:t>
  </x:si>
  <x:si>
    <x:t xml:space="preserve">Lizenznahme der Erzeugergruppe / Zeichennutzerin</x:t>
  </x:si>
  <x:si>
    <x:t xml:space="preserve">Zeichennutzungsvertrag der Erzeugergruppe prüfen und gegenzeichnen sowie Programmanmeldung weiterleiten</x:t>
  </x:si>
  <x:si>
    <x:t xml:space="preserve">Gegengezeichneter Zeichennutzungsvertrag und programmgemäß registrierte Erzeugergruppe</x:t>
  </x:si>
  <x:si>
    <x:t xml:space="preserve">QZBW – Teilnahmevereinbarung Gruppenzertifizierung (pflanzliche Bereiche), Stand 2023; Programmbestimmungen QZBW 2025</x:t>
  </x:si>
  <x:si>
    <x:t xml:space="preserve">Teilnahmevereinbarung GZ 2023, S. 2, Ziff. II.2; Programmbestimmungen 2025, Abschnitt 3.4</x:t>
  </x:si>
  <x:si>
    <x:t xml:space="preserve">Es stellt seinerseits die ordentliche Teilnahme am Qualitätszeichen Baden-Württemberg durch den Abschluss eines Zeichennutzungsvertrages mit einem Lizenznehmer sicher.</x:t>
  </x:si>
  <x:si>
    <x:t xml:space="preserve">BIO-0001</x:t>
  </x:si>
  <x:si>
    <x:t xml:space="preserve">BioZBW</x:t>
  </x:si>
  <x:si>
    <x:t xml:space="preserve">Teilnahmeerklärung gegenüber der Genossenschaft als Zeichennutzerin und Unternehmergruppe prüfen, unterzeichnen und übermitteln</x:t>
  </x:si>
  <x:si>
    <x:t xml:space="preserve">Unterzeichnete beziehungsweise vertraglich integrierte Teilnahmeerklärung des Traubenerzeugers gegenüber der Genossenschaft als Zeichennutzerin und Unternehmergruppe</x:t>
  </x:si>
  <x:si>
    <x:t xml:space="preserve">BioZBW – Programmbestimmungen, Stand 01.01.2026; Verordnung (EU) 2018/848; Delegierte Verordnung (EU) 2021/715</x:t>
  </x:si>
  <x:si>
    <x:t xml:space="preserve">S. 22–23, Abschnitte 9.1–9.2; VO (EU) 2018/848, Art. 36</x:t>
  </x:si>
  <x:si>
    <x:t xml:space="preserve">Landwirtschaftliche Erzeugerbetriebe (Erzeuger) müssen über den Zeichennutzer eine Teilnahmeerklärung zum Biozeichen Baden-Württemberg abgeben. […] Bei bestehenden vertraglichen Beziehungen […] ist es möglich, die Inhalte der Teilnahmeerklärung […] als Zusatz oder Bestandteil dieser vertraglichen Regelungen abzuschließen.</x:t>
  </x:si>
  <x:si>
    <x:t xml:space="preserve">BIO-0002</x:t>
  </x:si>
  <x:si>
    <x:t xml:space="preserve">BioZBW – Teilnahmeerklärung Erzeuger, Stand 07.12.2017</x:t>
  </x:si>
  <x:si>
    <x:t xml:space="preserve">Teilnahmeerklärung Erzeuger BioZBW, S. 2, Datenschutzhinweis</x:t>
  </x:si>
  <x:si>
    <x:t xml:space="preserve">Die in der Teilnahmeerklärung angegebenen personenbezogenen Daten […] sind für die Durchführung und Überwachung sowie die Dokumentation im Rahmen des Bio-Zeichens Baden-Württemberg erforderlich.</x:t>
  </x:si>
  <x:si>
    <x:t xml:space="preserve">BIO-0013</x:t>
  </x:si>
  <x:si>
    <x:t xml:space="preserve">Verordnung (EU) 2018/848; Durchführungsverordnung (EU) 2021/279</x:t>
  </x:si>
  <x:si>
    <x:t xml:space="preserve">Art. 5 Buchst. b; https://eur-lex.europa.eu/eli/reg/2018/848/oj?locale=de; https://eur-lex.europa.eu/legal-content/DE/ALL/?uri=CELEX%3A32021R0279</x:t>
  </x:si>
  <x:si>
    <x:t xml:space="preserve">Unterzeichnete Mitgliedsvereinbarungen</x:t>
  </x:si>
  <x:si>
    <x:t xml:space="preserve">BIO-0014</x:t>
  </x:si>
  <x:si>
    <x:t xml:space="preserve">BioZBW – Programmbestimmungen, Stand 01.01.2025</x:t>
  </x:si>
  <x:si>
    <x:t xml:space="preserve">Programmbestimmungen BioZBW 2025, S. 8, Abschnitt 3.4</x:t>
  </x:si>
  <x:si>
    <x:t xml:space="preserve">Zeichennutzer sind Verarbeitungs- und Vermarktungsbetriebe […] Dazu schließen sie mit einem Lizenznehmer einen entsprechenden Zeichennutzungsvertrag ab.</x:t>
  </x:si>
  <x:si>
    <x:t xml:space="preserve">BIO-0015</x:t>
  </x:si>
  <x:si>
    <x:t xml:space="preserve">BioZBW – Datenschutzhinweise zum Zeichennutzungsvertrag, 2024</x:t>
  </x:si>
  <x:si>
    <x:t xml:space="preserve">Datenschutzhinweise Zeichennutzungsvertrag BioZBW 2024, S. 1, Abschnitt „Zwecke und Rechtsgrundlagen der Verarbeitung“</x:t>
  </x:si>
  <x:si>
    <x:t xml:space="preserve">BIO-0016</x:t>
  </x:si>
  <x:si>
    <x:t xml:space="preserve">Mitglieder- und Meldedatei aktualisieren und jährlich an den Lizenznehmer übermitteln</x:t>
  </x:si>
  <x:si>
    <x:t xml:space="preserve">Aktuelles Mitgliederverzeichnis sowie jährliche Auskunft über die vorliegenden Teilnahmeerklärungen</x:t>
  </x:si>
  <x:si>
    <x:t xml:space="preserve">jährlich sowie bei Änderungen</x:t>
  </x:si>
  <x:si>
    <x:t xml:space="preserve">Verordnung (EU) 2018/848; Durchführungsverordnung (EU) 2021/279; BioZBW – Programmbestimmungen, Stand 01.01.2026</x:t>
  </x:si>
  <x:si>
    <x:t xml:space="preserve">BioZBW-Programmbestimmungen 2026, S. 27, Abschnitt 11.3; VO (EU) 2021/279, Art. 5 Buchst. a</x:t>
  </x:si>
  <x:si>
    <x:t xml:space="preserve">Zeichennutzer […] sind verpflichtet, ihrem Lizenznehmer regelmäßig jährlich zum Stand 31. Oktober […] Auskunft über die bei ihnen vorliegenden Teilnahmeerklärungen von Erzeugern zu geben.</x:t>
  </x:si>
  <x:si>
    <x:t xml:space="preserve">BIO-0017</x:t>
  </x:si>
  <x:si>
    <x:t xml:space="preserve">Eigenkontrollcheckliste des Zeichennutzers ausfüllen, aktualisieren und ablegen</x:t>
  </x:si>
  <x:si>
    <x:t xml:space="preserve">Durchgängiges Eigenkontrollsystem des Zeichennutzers mit vollständig bearbeiteter Eigenkontrollcheckliste</x:t>
  </x:si>
  <x:si>
    <x:t xml:space="preserve">jährlich (Modellannahme)</x:t>
  </x:si>
  <x:si>
    <x:t xml:space="preserve">BioZBW – Programmbestimmungen, Stand 01.01.2026; BioZBW – Eigenkontrolle Zeichennutzer, Version 2024; BioZBW – Zusatzanforderungen für pflanzliche Produkte, Stand 2024</x:t>
  </x:si>
  <x:si>
    <x:t xml:space="preserve">BioZBW-Programmbestimmungen 2026, S. 14, Abschnitt 6.1; Eigenkontrolle Zeichennutzer 2024; ZA pflanzliche Produkte 2024, S. 8, Abschnitt III.3</x:t>
  </x:si>
  <x:si>
    <x:t xml:space="preserve">Jeder Zeichennutzer und gegebenenfalls von diesem eingebundene Dienstleister haben ein durchgängiges Eigenkontrollsystem zu führen und mit den vorgegebenen Checklisten nachzuweisen.</x:t>
  </x:si>
  <x:si>
    <x:t xml:space="preserve">BIO-0018</x:t>
  </x:si>
  <x:si>
    <x:t xml:space="preserve">Art. 36 Abs. 1 Buchst. g; Art. 5 Buchst. c; https://eur-lex.europa.eu/eli/reg/2018/848/oj?locale=de; https://eur-lex.europa.eu/legal-content/DE/ALL/?uri=CELEX%3A32021R0279</x:t>
  </x:si>
  <x:si>
    <x:t xml:space="preserve">Dokumentierte interne Kontrollen und Kontrollberichte</x:t>
  </x:si>
  <x:si>
    <x:t xml:space="preserve">BIO-0019</x:t>
  </x:si>
  <x:si>
    <x:t xml:space="preserve">Art. 5 Buchst. f; https://eur-lex.europa.eu/eli/reg/2018/848/oj?locale=de; https://eur-lex.europa.eu/legal-content/DE/ALL/?uri=CELEX%3A32021R0279</x:t>
  </x:si>
  <x:si>
    <x:t xml:space="preserve">Maßnahmen bei Nichtkonformität und Nachverfolgung</x:t>
  </x:si>
  <x:si>
    <x:t xml:space="preserve">BIO-0020</x:t>
  </x:si>
  <x:si>
    <x:t xml:space="preserve">Durchführungsverordnung (EU) 2021/279</x:t>
  </x:si>
  <x:si>
    <x:t xml:space="preserve">Art. 5 Buchst. g; https://eur-lex.europa.eu/legal-content/DE/ALL/?uri=CELEX%3A32021R0279</x:t>
  </x:si>
  <x:si>
    <x:t xml:space="preserve">Rückverfolgbarkeitsaufzeichnungen zu Betriebsmitteln, Erzeugung, Lagerung und Lieferung</x:t>
  </x:si>
  <x:si>
    <x:t xml:space="preserve">BIO-0021</x:t>
  </x:si>
  <x:si>
    <x:t xml:space="preserve">BIO-0022</x:t>
  </x:si>
  <x:si>
    <x:t xml:space="preserve">BIO-0023</x:t>
  </x:si>
  <x:si>
    <x:t xml:space="preserve">BIO-0024</x:t>
  </x:si>
  <x:si>
    <x:t xml:space="preserve">BIO-0025</x:t>
  </x:si>
  <x:si>
    <x:t xml:space="preserve">BIO-0026</x:t>
  </x:si>
  <x:si>
    <x:t xml:space="preserve">BIO-0027</x:t>
  </x:si>
  <x:si>
    <x:t xml:space="preserve">BIO-0028</x:t>
  </x:si>
  <x:si>
    <x:t xml:space="preserve">BIO-0029</x:t>
  </x:si>
  <x:si>
    <x:t xml:space="preserve">BIO-0038</x:t>
  </x:si>
  <x:si>
    <x:t xml:space="preserve">Warenflüsse zwischen zertifizierten und nicht zertifizierten Produkten trennen und nachvollziehbar dokumentieren</x:t>
  </x:si>
  <x:si>
    <x:t xml:space="preserve">Nachvollziehbare Trennung der Warenflüsse zwischen zertifizierten und nicht zertifizierten Produkten in zentralen Einrichtungen</x:t>
  </x:si>
  <x:si>
    <x:t xml:space="preserve">BioZBW-Programmbestimmungen 2026, S. 23, Abschnitt 9.2; ZA pflanzliche Produkte 2024, S. 9, Abschnitte III.6–7</x:t>
  </x:si>
  <x:si>
    <x:t xml:space="preserve">Zeichennutzer sind verpflichtet, ihre Warenflüsse sowohl in der Warenwirtschaft als auch im Angebot gegenüber dem Endverbraucher bezüglich der Programmware nachvollziehbar zu trennen und zu kennzeichnen.</x:t>
  </x:si>
  <x:si>
    <x:t xml:space="preserve">BIO-0039</x:t>
  </x:si>
  <x:si>
    <x:t xml:space="preserve">Art. 5 Buchst. f; Art. 6; https://eur-lex.europa.eu/eli/reg/2018/848/oj?locale=de; https://eur-lex.europa.eu/legal-content/DE/ALL/?uri=CELEX%3A32021R0279</x:t>
  </x:si>
  <x:si>
    <x:t xml:space="preserve">Dokumentierte Bearbeitung von Abweichungen</x:t>
  </x:si>
  <x:si>
    <x:t xml:space="preserve">BIO-0040</x:t>
  </x:si>
  <x:si>
    <x:t xml:space="preserve">Art. 36 Abs. 1 Buchst. g; https://eur-lex.europa.eu/eli/reg/2018/848/oj?locale=de; https://eur-lex.europa.eu/legal-content/DE/ALL/?uri=CELEX%3A32021R0279</x:t>
  </x:si>
  <x:si>
    <x:t xml:space="preserve">Dokumentation des internen Kontrollsystems</x:t>
  </x:si>
  <x:si>
    <x:t xml:space="preserve">BIO-0041</x:t>
  </x:si>
  <x:si>
    <x:t xml:space="preserve">Kategorisierung und Meldung von Nichtkonformität</x:t>
  </x:si>
  <x:si>
    <x:t xml:space="preserve">BIO-0042</x:t>
  </x:si>
  <x:si>
    <x:t xml:space="preserve">QMS-Verfahren, Unterlagen und Aufzeichnungen erstellen, aktualisieren und bereitstellen</x:t>
  </x:si>
  <x:si>
    <x:t xml:space="preserve">Aktuelle und vollständig verfügbare QMS-Verfahren, Unterlagen und Aufzeichnungen der Unternehmergruppe</x:t>
  </x:si>
  <x:si>
    <x:t xml:space="preserve">Verordnung (EU) 2018/848; Delegierte Verordnung (EU) 2021/715; Durchführungsverordnung (EU) 2021/279</x:t>
  </x:si>
  <x:si>
    <x:t xml:space="preserve">VO (EU) 2018/848, Art. 36; VO (EU) 2021/715, Art. 1 Nr. 1 Buchst. b und c; VO (EU) 2021/279, Art. 5</x:t>
  </x:si>
  <x:si>
    <x:t xml:space="preserve">Entwicklung der IKS-Verfahren und Ausarbeitung der entsprechenden Unterlagen und Aufzeichnungen, Aktualisierung und Verfügbar machen dieser für die IKS-Inspektoren und gegebenenfalls die Mitglieder der Gruppe.</x:t>
  </x:si>
  <x:si>
    <x:t xml:space="preserve">BIO-0043</x:t>
  </x:si>
  <x:si>
    <x:t xml:space="preserve">QMS anhand der Unterlagen verifizieren und Ergebnis dokumentieren</x:t>
  </x:si>
  <x:si>
    <x:t xml:space="preserve">Verifiziertes QMS</x:t>
  </x:si>
  <x:si>
    <x:t xml:space="preserve">Art. 36; Art. 7; https://eur-lex.europa.eu/eli/reg/2018/848/oj?locale=de; https://eur-lex.europa.eu/legal-content/DE/ALL/?uri=CELEX%3A32021R0279</x:t>
  </x:si>
  <x:si>
    <x:t xml:space="preserve">Verifizierung des internen Kontrollsystems</x:t>
  </x:si>
  <x:si>
    <x:t xml:space="preserve">BIO-0044</x:t>
  </x:si>
  <x:si>
    <x:t xml:space="preserve">Prüfergebnisse dokumentieren und Quartalsmeldung an die MBW übermitteln</x:t>
  </x:si>
  <x:si>
    <x:t xml:space="preserve">Dokumentierte Prüfergebnisse sowie fristgerechte Quartalsmeldung der Zertifizierungsstelle</x:t>
  </x:si>
  <x:si>
    <x:t xml:space="preserve">vierteljährlich; 240 Min. als Gesamtmodellwert je Jahr</x:t>
  </x:si>
  <x:si>
    <x:t xml:space="preserve">BioZBW – Programmbestimmungen, Stand 01.01.2026; Durchführungsverordnung (EU) 2021/279</x:t>
  </x:si>
  <x:si>
    <x:t xml:space="preserve">BioZBW-Programmbestimmungen 2026, S. 28, Abschnitt 11.5; VO (EU) 2021/279, Art. 7</x:t>
  </x:si>
  <x:si>
    <x:t xml:space="preserve">Über die Zertifizierungstätigkeit ist regelmäßig zu einem Quartalsende ein zusammenfassender Bericht zu erstellen. […] Die Berichte müssen jeweils im darauffolgenden Quartal […] bei der MBW abgegeben werden.</x:t>
  </x:si>
  <x:si>
    <x:t xml:space="preserve">BIO-0047</x:t>
  </x:si>
  <x:si>
    <x:t xml:space="preserve">Mitgliederliste mit Kontrollstatus und Versionsstand aktualisieren</x:t>
  </x:si>
  <x:si>
    <x:t xml:space="preserve">Aktuelle Mitgliederliste mit Status, Kontrollangaben und Versionsstand</x:t>
  </x:si>
  <x:si>
    <x:t xml:space="preserve">bei jeder Änderung</x:t>
  </x:si>
  <x:si>
    <x:t xml:space="preserve">Art. 5 Buchst. a und letzter Absatz</x:t>
  </x:si>
  <x:si>
    <x:t xml:space="preserve">Die in Absatz 1 Buchstabe a genannte Liste der Mitglieder wird vom IKS-Verwalter aktualisiert, sobald sich eines der [...] aufgeführten Elemente ändert.</x:t>
  </x:si>
  <x:si>
    <x:t xml:space="preserve">BIO-0048</x:t>
  </x:si>
  <x:si>
    <x:t xml:space="preserve">interne QMS-Kontrolleure ernennen sowie Interessenkonflikte und Qualifikation dokumentieren</x:t>
  </x:si>
  <x:si>
    <x:t xml:space="preserve">Dokumentierte Ernennung, Unabhängigkeit und Qualifikation der interne QMS-Kontrolleure</x:t>
  </x:si>
  <x:si>
    <x:t xml:space="preserve">bei Ernennung und jährlich</x:t>
  </x:si>
  <x:si>
    <x:t xml:space="preserve">Delegierte Verordnung (EU) 2021/715; Durchführungsverordnung (EU) 2021/279</x:t>
  </x:si>
  <x:si>
    <x:t xml:space="preserve">VO (EU) 2021/715, Art. 1 Nr. 1 Buchst. c Ziff. vii und ix; VO (EU) 2021/279, Art. 5 Buchst. d und j</x:t>
  </x:si>
  <x:si>
    <x:t xml:space="preserve">jährliche Überprüfung der Erklärungen zu Interessenkonflikten der IKS-Inspektoren</x:t>
  </x:si>
  <x:si>
    <x:t xml:space="preserve">BIO-0049</x:t>
  </x:si>
  <x:si>
    <x:t xml:space="preserve">interne QMS-Kontrolleure und Mitglieder schulen und Schulungsnachweise pflegen</x:t>
  </x:si>
  <x:si>
    <x:t xml:space="preserve">Jährliche Schulungen der interne QMS-Kontrolleure und dokumentierte Schulungen der Gruppenmitglieder</x:t>
  </x:si>
  <x:si>
    <x:t xml:space="preserve">VO (EU) 2021/715, Art. 1 Nr. 1 Buchst. b Ziff. iv und v; VO (EU) 2021/279, Art. 5 Buchst. d und e</x:t>
  </x:si>
  <x:si>
    <x:t xml:space="preserve">Schulungen der IKS-Inspektoren, die mindestens einmal jährlich stattfinden [...] Schulungen der Mitglieder der Gruppe zu den IKS-Verfahren</x:t>
  </x:si>
  <x:si>
    <x:t xml:space="preserve">BIO-0050</x:t>
  </x:si>
  <x:si>
    <x:t xml:space="preserve">Interne Inspektionen terminieren und Inspektionsplan pflegen</x:t>
  </x:si>
  <x:si>
    <x:t xml:space="preserve">Vom QMS-verantwortliche Person geplante und fristgerecht durchgeführte interne Inspektionen</x:t>
  </x:si>
  <x:si>
    <x:t xml:space="preserve">Delegierte Verordnung (EU) 2021/715</x:t>
  </x:si>
  <x:si>
    <x:t xml:space="preserve">Art. 1 Nr. 1 Buchst. c Ziff. viii</x:t>
  </x:si>
  <x:si>
    <x:t xml:space="preserve">Anberaumung interner Inspektionen und Sicherstellung ihrer angemessenen Durchführung gemäß dem [...] Plan des IKS-Verwalters</x:t>
  </x:si>
  <x:si>
    <x:t xml:space="preserve">BIO-0051</x:t>
  </x:si>
  <x:si>
    <x:t xml:space="preserve">Neue Mitglieder, Produktionseinheiten oder Tätigkeiten prüfen und Zulassung dokumentieren</x:t>
  </x:si>
  <x:si>
    <x:t xml:space="preserve">Dokumentierte Zulassung neuer Mitglieder, Produktionseinheiten und Tätigkeiten</x:t>
  </x:si>
  <x:si>
    <x:t xml:space="preserve">bei Aufnahme oder Änderung</x:t>
  </x:si>
  <x:si>
    <x:t xml:space="preserve">Art. 1 Nr. 1 Buchst. b Ziff. iii und Buchst. c Ziff. x</x:t>
  </x:si>
  <x:si>
    <x:t xml:space="preserve">Zulassung neuer Mitglieder oder neuer Produktionseinheiten oder neuer Tätigkeiten bestehender Mitglieder</x:t>
  </x:si>
  <x:si>
    <x:t xml:space="preserve">BIO-0052</x:t>
  </x:si>
  <x:si>
    <x:t xml:space="preserve">Erhebliche Verstöße, Mitgliedssperren und Vermarktungsverbote an die Kontrollstelle melden</x:t>
  </x:si>
  <x:si>
    <x:t xml:space="preserve">Unverzügliche Meldung erheblicher oder kritischer Verstöße, Sperren und Vermarktungsverbote</x:t>
  </x:si>
  <x:si>
    <x:t xml:space="preserve">Art. 6</x:t>
  </x:si>
  <x:si>
    <x:t xml:space="preserve">Der IKS-Verwalter teilt der zuständigen Behörde oder gegebenenfalls der Kontrollbehörde oder Kontrollstelle unverzüglich Folgendes mit</x:t>
  </x:si>
  <x:si>
    <x:t xml:space="preserve">BIO-0053</x:t>
  </x:si>
  <x:si>
    <x:t xml:space="preserve">Vorhandene Betriebsnachweise für das QMS zusammenstellen und der Unternehmergruppe übermitteln</x:t>
  </x:si>
  <x:si>
    <x:t xml:space="preserve">Vollständig zusammengestelltes und an die Unternehmergruppe übermitteltes QMS-Nachweispaket</x:t>
  </x:si>
  <x:si>
    <x:t xml:space="preserve">VO (EU) 2018/848, Art. 36; VO (EU) 2021/279, Art. 5</x:t>
  </x:si>
  <x:si>
    <x:t xml:space="preserve">Der IKS-Verwalter […] führt über jedes Mitglied […] Aufzeichnungen und bewahrt diese auf […] und stellt die erforderlichen Unterlagen für die amtlichen Kontrollen bereit.</x:t>
  </x:si>
  <x:si>
    <x:t xml:space="preserve">BIO-0054</x:t>
  </x:si>
  <x:si>
    <x:t xml:space="preserve">Umsetzung von Korrekturmaßnahmen dokumentieren und der Unternehmergruppe melden</x:t>
  </x:si>
  <x:si>
    <x:t xml:space="preserve">Dokumentierter Umsetzungsnachweis zu festgelegten Korrekturmaßnahmen und Mitteilung an die Unternehmergruppe</x:t>
  </x:si>
  <x:si>
    <x:t xml:space="preserve">Art. 5 Buchst. f</x:t>
  </x:si>
  <x:si>
    <x:t xml:space="preserve">Maßnahmen bei Nichtkonformität […] einschließlich des Zeitplans für ihre Durchführung und der Überwachung ihres Abschlusses.</x:t>
  </x:si>
  <x:si>
    <x:t xml:space="preserve">BIO-0055</x:t>
  </x:si>
  <x:si>
    <x:t xml:space="preserve">Dokumentierte Beauftragung der Kontrollstelle für die externe Kontrolle der Unternehmergruppe</x:t>
  </x:si>
  <x:si>
    <x:t xml:space="preserve">VO (EU) 2018/848, Art. 36; VO (EU) 2021/279, Art. 7</x:t>
  </x:si>
  <x:si>
    <x:t xml:space="preserve">Die Gruppe […] unterliegt einem Kontrollsystem für die amtlichen Kontrollen und anderen amtlichen Tätigkeiten.</x:t>
  </x:si>
  <x:si>
    <x:t xml:space="preserve">BIO-0056</x:t>
  </x:si>
  <x:si>
    <x:t xml:space="preserve">QMS-Kontrollunterlagen zusammenstellen und der Kontrollstelle bereitstellen</x:t>
  </x:si>
  <x:si>
    <x:t xml:space="preserve">Vollständiges, prüffähiges QMS-Kontrollpaket für die externe Kontrollstelle</x:t>
  </x:si>
  <x:si>
    <x:t xml:space="preserve">Art. 5 und 7</x:t>
  </x:si>
  <x:si>
    <x:t xml:space="preserve">Der IKS-Verwalter stellt […] die Dokumente und Aufzeichnungen der Gruppe […] zur Verfügung.</x:t>
  </x:si>
  <x:si>
    <x:t xml:space="preserve">BIO-0057</x:t>
  </x:si>
  <x:si>
    <x:t xml:space="preserve">Art. 7</x:t>
  </x:si>
  <x:si>
    <x:t xml:space="preserve">Die zuständige Behörde oder gegebenenfalls die Kontrollbehörde oder Kontrollstelle überprüft jährlich die Einrichtung und Funktionsweise des IKS.</x:t>
  </x:si>
  <x:si>
    <x:t xml:space="preserve">BIO-0058</x:t>
  </x:si>
  <x:si>
    <x:t xml:space="preserve">Dokumentierte Zertifizierungsentscheidung und übermittelte Zertifikatsdaten für die Unternehmergruppe</x:t>
  </x:si>
  <x:si>
    <x:t xml:space="preserve">Verordnung (EU) 2018/848</x:t>
  </x:si>
  <x:si>
    <x:t xml:space="preserve">Art. 36 Abs. 2 in Verbindung mit Art. 35</x:t>
  </x:si>
  <x:si>
    <x:t xml:space="preserve">Das in Artikel 35 genannte Zertifikat wird für die gesamte Gruppe ausgestellt.</x:t>
  </x:si>
  <x:si>
    <x:t xml:space="preserve">BIO-0059</x:t>
  </x:si>
  <x:si>
    <x:t xml:space="preserve">BIO-0060</x:t>
  </x:si>
  <x:si>
    <x:t xml:space="preserve">Zeichennutzungsvertrag der Genossenschaft prüfen und gegenzeichnen sowie Programmanmeldung weiterleiten</x:t>
  </x:si>
  <x:si>
    <x:t xml:space="preserve">Gegengezeichneter Zeichennutzungsvertrag und programmgemäß registrierte Genossenschaft</x:t>
  </x:si>
  <x:si>
    <x:t xml:space="preserve">BioZBW – Programmbestimmungen, Stand 01.01.2026</x:t>
  </x:si>
  <x:si>
    <x:t xml:space="preserve">S. 22, Abschnitt 9.2</x:t>
  </x:si>
  <x:si>
    <x:t xml:space="preserve">BIO-0061</x:t>
  </x:si>
  <x:si>
    <x:t xml:space="preserve">BioZBW-Produktaufstellung aktualisieren und für Kontrollen bereitstellen</x:t>
  </x:si>
  <x:si>
    <x:t xml:space="preserve">Stets aktuelle Aufstellung der mit BioZBW gekennzeichneten und vermarkteten Produkte</x:t>
  </x:si>
  <x:si>
    <x:t xml:space="preserve">S. 27, Abschnitt 11.3</x:t>
  </x:si>
  <x:si>
    <x:t xml:space="preserve">Zeichennutzer sind verpflichtet, eine stets aktuelle Aufstellung der Produkte vorzuhalten, die mit dem Biozeichen Baden-Württemberg gekennzeichnet und vermarktet werden.</x:t>
  </x:si>
  <x:si>
    <x:t xml:space="preserve">BIO-0062</x:t>
  </x:si>
  <x:si>
    <x:t xml:space="preserve">Qualitätsprüfung administrativ anmelden sowie Ergebnisnachweis zuordnen und bereithalten</x:t>
  </x:si>
  <x:si>
    <x:t xml:space="preserve">Aktueller Qualitätsprüfungsnachweis für BioZBW-Verarbeitungsprodukte</x:t>
  </x:si>
  <x:si>
    <x:t xml:space="preserve">gemäß Zertifikatslaufzeit; im Modell jährlich</x:t>
  </x:si>
  <x:si>
    <x:t xml:space="preserve">BioZBW – Programmbestimmungen, Stand 01.01.2026; BioZBW – Zusatzanforderungen für pflanzliche Produkte, Stand 2024</x:t>
  </x:si>
  <x:si>
    <x:t xml:space="preserve">Programmbestimmungen 2026, S. 15–16, Abschnitte 6.4–6.4.1; ZA pflanzliche Produkte 2024, S. 8–9, Abschnitt III.5</x:t>
  </x:si>
  <x:si>
    <x:t xml:space="preserve">Verarbeitungsprodukte, für die eine Zeichennutzung erfolgt, müssen regelmäßig zu Qualitätsprüfungen angestellt werden. […] Der Qualitätsnachweis erfolgt durch regelmäßige Teilnahme an den Prüfungen der DLG oder an vergleichbaren Qualitätsprüfungen.</x:t>
  </x:si>
  <x:si>
    <x:t xml:space="preserve">BIO-0063</x:t>
  </x:si>
  <x:si>
    <x:t xml:space="preserve">Jahresmeldung der angeschlossenen Erzeuger und Zeichennutzer erstellen und an die MBW übermitteln</x:t>
  </x:si>
  <x:si>
    <x:t xml:space="preserve">Jährliche zusammenfassende Meldung der angeschlossenen Erzeuger und Zeichennutzer an die MBW</x:t>
  </x:si>
  <x:si>
    <x:t xml:space="preserve">jährlich zum 31. Dezember</x:t>
  </x:si>
  <x:si>
    <x:t xml:space="preserve">S. 27–28, Abschnitt 11.4</x:t>
  </x:si>
  <x:si>
    <x:t xml:space="preserve">Lizenznehmer sind verpflichtet, jährlich zum 31. Dezember eine zusammenfassende Meldung über die angeschlossenen Erzeuger und Zeichennutzer bei der MBW […] abzugeben.</x:t>
  </x:si>
  <x:si>
    <x:t xml:space="preserve">Kostenrechnung – enge zertifizierungsspezifische Szenarien</x:t>
  </x:si>
  <x:si>
    <x:t xml:space="preserve">Aktuell sind ausschließlich QZBW und BioZBW ohne fachrechtliche/betriebliche Basisadministration. Alle Ergebnisse greifen formelbasiert auf die beiden Anforderungsblätter zu.</x:t>
  </x:si>
  <x:si>
    <x:t xml:space="preserve">Kennzahl</x:t>
  </x:si>
  <x:si>
    <x:t xml:space="preserve">QZBW (EUR)</x:t>
  </x:si>
  <x:si>
    <x:t xml:space="preserve">BioZBW (EUR)</x:t>
  </x:si>
  <x:si>
    <x:t xml:space="preserve">Differenz QZBW – BioZBW (EUR)</x:t>
  </x:si>
  <x:si>
    <x:t xml:space="preserve">Gesamtkosten eng</x:t>
  </x:si>
  <x:si>
    <x:t xml:space="preserve">Gesamtzeit eng (Std.)</x:t>
  </x:si>
  <x:si>
    <x:t xml:space="preserve">Anzahl enthaltener Tätigkeiten</x:t>
  </x:si>
  <x:si>
    <x:t xml:space="preserve">Abstimmung</x:t>
  </x:si>
  <x:si>
    <x:t xml:space="preserve">Aktuelle Arbeitsversion (EUR)</x:t>
  </x:si>
  <x:si>
    <x:t xml:space="preserve">Interne V3 vor Abgrenzung (EUR)</x:t>
  </x:si>
  <x:si>
    <x:t xml:space="preserve">Methodische Veränderung (EUR)</x:t>
  </x:si>
  <x:si>
    <x:t xml:space="preserve">Status</x:t>
  </x:si>
  <x:si>
    <x:t xml:space="preserve">QZBW eng</x:t>
  </x:si>
  <x:si>
    <x:t xml:space="preserve">INFO – methodisch bereinigt</x:t>
  </x:si>
  <x:si>
    <x:t xml:space="preserve">BioZBW eng</x:t>
  </x:si>
  <x:si>
    <x:t xml:space="preserve">Differenz QZBW – BioZBW</x:t>
  </x:si>
  <x:si>
    <x:t xml:space="preserve">Akteursgruppe</x:t>
  </x:si>
  <x:si>
    <x:t xml:space="preserve">QZBW Kosten (EUR)</x:t>
  </x:si>
  <x:si>
    <x:t xml:space="preserve">BioZBW Kosten (EUR)</x:t>
  </x:si>
  <x:si>
    <x:t xml:space="preserve">Differenz (EUR)</x:t>
  </x:si>
  <x:si>
    <x:t xml:space="preserve">QZBW Zeit (Std.)</x:t>
  </x:si>
  <x:si>
    <x:t xml:space="preserve">BioZBW Zeit (Std.)</x:t>
  </x:si>
  <x:si>
    <x:t xml:space="preserve">Rollenaufteilung Genossenschaft</x:t>
  </x:si>
  <x:si>
    <x:t xml:space="preserve">Rolle der Genossenschaft</x:t>
  </x:si>
  <x:si>
    <x:t xml:space="preserve">Separate Zeichennutzer / Verarbeitungsstufe außerhalb der Genossenschaft</x:t>
  </x:si>
  <x:si>
    <x:t xml:space="preserve">Summe Genossenschaft</x:t>
  </x:si>
  <x:si>
    <x:t xml:space="preserve">Personaltyp</x:t>
  </x:si>
  <x:si>
    <x:t xml:space="preserve">QZBW Summe Fallzahlen</x:t>
  </x:si>
  <x:si>
    <x:t xml:space="preserve">BioZBW Summe Fallzahlen</x:t>
  </x:si>
  <x:si>
    <x:t xml:space="preserve">Datenstatus</x:t>
  </x:si>
  <x:si>
    <x:t xml:space="preserve">Betriebsleiter*in / Geschäftsführer*in</x:t>
  </x:si>
  <x:si>
    <x:t xml:space="preserve">Modellwert aus Ausgangsdatei; empirischer Status nicht belegt</x:t>
  </x:si>
  <x:si>
    <x:t xml:space="preserve">Verwaltungskraft</x:t>
  </x:si>
  <x:si>
    <x:t xml:space="preserve">Facharbeiter*in</x:t>
  </x:si>
  <x:si>
    <x:t xml:space="preserve">Methodische Hinweise</x:t>
  </x:si>
  <x:si>
    <x:t xml:space="preserve">Die enge Rechnung summiert ausschließlich Zeilen mit „In enger Kostenrechnung enthalten = Ja“. Betrachtet wird die gesamte Weinwertschöpfungskette vom Traubenerzeuger bis zur Kontrollstelle.</x:t>
  </x:si>
  <x:si>
    <x:t xml:space="preserve">Monetarisiert werden nur zusätzliche zertifizierungsspezifische administrative Tätigkeiten: Informationen erfassen, übertragen, prüfen, verarbeiten, ablegen oder kommunizieren.</x:t>
  </x:si>
  <x:si>
    <x:t xml:space="preserve">Die Erstellung fachrechtlich ohnehin erforderlicher Dünge-, Pflanzenschutz-, Ernte- oder Verkaufsaufzeichnungen ist ausgeschlossen. Die zusätzliche gruppenbezogene Prüfung dieser vorhandenen Nachweise bleibt enthalten.</x:t>
  </x:si>
  <x:si>
    <x:t xml:space="preserve">Physische Standort-, Prozess- und Vor-Ort-Prüfungen sind ausgeschlossen. Ob die Anforderungen ausgeführt wurden, wird administrativ bereits über Eigenkontrollchecklisten, Nachweisprüfung und Kontrollprotokolle beziehungsweise physisch bei der Vor-Ort-Kontrolle geprüft; eine zusätzliche Monetarisierung würde Doppelzählungen begünstigen.</x:t>
  </x:si>
  <x:si>
    <x:t xml:space="preserve">Für BioZBW ist eine rechtskonforme, bereits EU-ökologisch zertifizierte Weinwertschöpfungskette Baseline. Direkte EU-Gruppenanforderungen und beschlossene funktionale Übertragungen aus QZBW sind im Anforderungsblatt getrennt gekennzeichnet.</x:t>
  </x:si>
  <x:si>
    <x:t xml:space="preserve">HACCP ist bei der Weinbereitung/Verarbeitung fachlich relevant, wird aber nicht als separater QZBW- oder BioZBW-Zusatzkostenblock berechnet, weil ein HACCP-basiertes Verfahren bereits nach allgemeinem Lebensmittelhygienerecht erforderlich ist.</x:t>
  </x:si>
  <x:si>
    <x:t xml:space="preserve">Kontrollstellenkosten sind modellierte interne Arbeitszeit. Sie sind nicht mit Kontrollgebühren, Rechnungen oder Förderzahlungen gleichzusetzen.</x:t>
  </x:si>
  <x:si>
    <x:t xml:space="preserve">Die SankeyMATIC-Codes enthalten ausschließlich QZBW und BioZBW – jeweils nur zertifizierungsspezifisch – und werden mit vorgeschaltetem Gesamtflow aus den enthaltenen Zeilen dieser Arbeitsmappe neu erzeugt.</x:t>
  </x:si>
  <x:si>
    <x:t xml:space="preserve">Die Tätigkeiten der Genossenschaft werden getrennt nach „Administrative Tätigkeiten im QMS der Erzeugergruppe“ und „Administrative Tätigkeiten als Zeichennutzer“ ausgewiesen. Normativ belegte, aber nur über analoge Zeitansätze monetarisierte QMS-Pflichten sind in den Annahmen ausdrücklich als noch empirisch zu validieren gekennzeichnet.</x:t>
  </x:si>
  <x:si>
    <x:t xml:space="preserve">Die Tätigkeiten der Genossenschaft werden getrennt nach „Administrative Tätigkeiten im QMS der Erzeugergruppe“ und „Administrative Tätigkeiten als Zeichennutzer“ ausgewiesen. Weitere QMS-Pflichten ohne belastbaren Zeitansatz bleiben in den Anforderungsblättern sichtbar, werden aber nicht monetarisiert.</x:t>
  </x:si>
  <x:si>
    <x:t xml:space="preserve">Die frühere QZBW-Position Rückstandsuntersuchungen (240 EUR) ist ausgeschlossen: Für Wein, Sekt und Perlwein ist in der produktspezifischen Kontrollfrequenztabelle kein Rückstandsuntersuchungsplan ausgewiesen.</x:t>
  </x:si>
  <x:si>
    <x:t xml:space="preserve">V9 ergänzt nach vollständiger Prüfung der BioZBW-Programmbestimmungen 2026 die aktuelle BioZBW-Produktaufstellung, die administrative Nachweisführung der Qualitätsprüfung und die jährliche Lizenznehmermeldung. Bereits vorhandene Meldepositionen wurden präzisiert; physische Prüfungen, Laborleistungen und nur bedingt ausgelöste Vorgänge bleiben außerhalb der engen Rechnung.</x:t>
  </x:si>
  <x:si>
    <x:t xml:space="preserve">Die Datenflussanalyse darf fachrechtlich bereits vorhandene Nachweise im QMS-Prozess erneut darstellen, weil sie alle relevanten Datenflüsse abbildet. In der Kostenanalyse werden dagegen nur die zusätzliche Bereitstellung beziehungsweise QMS-Prüfung dieser Nachweise, nicht deren fachrechtliche Ersterstellung, monetarisiert.</x:t>
  </x:si>
  <x:si>
    <x:t xml:space="preserve">Quellenregister</x:t>
  </x:si>
  <x:si>
    <x:t xml:space="preserve">Dokumente und Rechtsgrundlagen der Arbeitsversion. Dokumenttitel und offizielle Online-Fundstellen dienen der wissenschaftlichen Nachvollziehbarkeit.</x:t>
  </x:si>
  <x:si>
    <x:t xml:space="preserve">Quellen-ID</x:t>
  </x:si>
  <x:si>
    <x:t xml:space="preserve">Dokumenttitel</x:t>
  </x:si>
  <x:si>
    <x:t xml:space="preserve">Version / Stand</x:t>
  </x:si>
  <x:si>
    <x:t xml:space="preserve">Dateiname</x:t>
  </x:si>
  <x:si>
    <x:t xml:space="preserve">Offizielle Fundstelle / Bezugsquelle</x:t>
  </x:si>
  <x:si>
    <x:t xml:space="preserve">Behandelte Akteursrollen</x:t>
  </x:si>
  <x:si>
    <x:t xml:space="preserve">Verwendung in der Kostenrechnung</x:t>
  </x:si>
  <x:si>
    <x:t xml:space="preserve">Bemerkungen</x:t>
  </x:si>
  <x:si>
    <x:t xml:space="preserve">SRC-001</x:t>
  </x:si>
  <x:si>
    <x:t xml:space="preserve">Beide</x:t>
  </x:si>
  <x:si>
    <x:t xml:space="preserve">Kostenanalyse – interne Ausgangsarbeitsmappe</x:t>
  </x:si>
  <x:si>
    <x:t xml:space="preserve">V2e, 2026-07-19</x:t>
  </x:si>
  <x:si>
    <x:t xml:space="preserve">Kostenschätzungen-data-V2e_korrigiert_2026-07-19.xlsx</x:t>
  </x:si>
  <x:si>
    <x:t xml:space="preserve">In dieser Arbeitsmappe dokumentiert; kein externer Dateiverweis</x:t>
  </x:si>
  <x:si>
    <x:t xml:space="preserve">Alle Akteursrollen</x:t>
  </x:si>
  <x:si>
    <x:t xml:space="preserve">Primäre Quelle für Zeitansätze, Fallzahlen und Stundensätze</x:t>
  </x:si>
  <x:si>
    <x:t xml:space="preserve">Datei bleibt unverändert; interne Herkunftsangabe wird vor einer späteren Publikationsfassung neutralisiert.</x:t>
  </x:si>
  <x:si>
    <x:t xml:space="preserve">SRC-002</x:t>
  </x:si>
  <x:si>
    <x:t xml:space="preserve">Zusatzanforderungen Wein</x:t>
  </x:si>
  <x:si>
    <x:t xml:space="preserve">2025</x:t>
  </x:si>
  <x:si>
    <x:t xml:space="preserve">QZBW - ZA Wein 2025.pdf</x:t>
  </x:si>
  <x:si>
    <x:t xml:space="preserve">https://mbw.imageplant.de/</x:t>
  </x:si>
  <x:si>
    <x:t xml:space="preserve">Traubenerzeuger; Zeichennutzer; Weinbereitung</x:t>
  </x:si>
  <x:si>
    <x:t xml:space="preserve">QZBW-Anforderungen, Qualitätsnachweis und HACCP-Einordnung</x:t>
  </x:si>
  <x:si>
    <x:t xml:space="preserve">Qualitätsnachweis S. 3 und 7; HACCP S. 7.</x:t>
  </x:si>
  <x:si>
    <x:t xml:space="preserve">SRC-003</x:t>
  </x:si>
  <x:si>
    <x:t xml:space="preserve">Zusatzanforderungen für pflanzliche Produkte</x:t>
  </x:si>
  <x:si>
    <x:t xml:space="preserve">2024</x:t>
  </x:si>
  <x:si>
    <x:t xml:space="preserve">ZA BioZBW Pflanzlich 2024.pdf</x:t>
  </x:si>
  <x:si>
    <x:t xml:space="preserve">Erzeuger; Zeichennutzer; Verarbeitung</x:t>
  </x:si>
  <x:si>
    <x:t xml:space="preserve">BioZBW-Anforderungen und HACCP-Einordnung</x:t>
  </x:si>
  <x:si>
    <x:t xml:space="preserve">Analytische Anforderungen sind produktbezogen auf Säfte/Essige; keine getrennte Grundlage für Wein-Zucker/Säure/Alkohol/Sensorik/Nmin.</x:t>
  </x:si>
  <x:si>
    <x:t xml:space="preserve">SRC-004</x:t>
  </x:si>
  <x:si>
    <x:t xml:space="preserve">QZBW; methodisches Übertragungsvorbild</x:t>
  </x:si>
  <x:si>
    <x:t xml:space="preserve">Anforderungen an Erzeugergruppen</x:t>
  </x:si>
  <x:si>
    <x:t xml:space="preserve">2023</x:t>
  </x:si>
  <x:si>
    <x:t xml:space="preserve">Anforderungen Erzeugergruppen Stand 2023_2.pdf</x:t>
  </x:si>
  <x:si>
    <x:t xml:space="preserve">Erzeugergruppe; QMS; interne Audits und Kontrollen</x:t>
  </x:si>
  <x:si>
    <x:t xml:space="preserve">QZBW-Gruppenzertifizierung und dokumentiertes Übertragungsvorbild für nicht unmittelbar belegte BioZBW-Detailpositionen</x:t>
  </x:si>
  <x:si>
    <x:t xml:space="preserve">Keine normative BioZBW-Quelle; eine Verwendung als Übertragungsvorbild wird ausschließlich unter Zahlenherkunft/Übertragungsstatus ausgewiesen.</x:t>
  </x:si>
  <x:si>
    <x:t xml:space="preserve">SRC-005</x:t>
  </x:si>
  <x:si>
    <x:t xml:space="preserve">konsolidierter Rechtsbezug</x:t>
  </x:si>
  <x:si>
    <x:t xml:space="preserve">Ökoverordnung 2018_848.pdf</x:t>
  </x:si>
  <x:si>
    <x:t xml:space="preserve">https://eur-lex.europa.eu/eli/reg/2018/848/oj?locale=de</x:t>
  </x:si>
  <x:si>
    <x:t xml:space="preserve">Unternehmergruppe; QMS</x:t>
  </x:si>
  <x:si>
    <x:t xml:space="preserve">Rechtsgrundlage Gruppenzertifizierung</x:t>
  </x:si>
  <x:si>
    <x:t xml:space="preserve">Art. 36; https://eur-lex.europa.eu/eli/reg/2018/848/oj?locale=de</x:t>
  </x:si>
  <x:si>
    <x:t xml:space="preserve">SRC-006</x:t>
  </x:si>
  <x:si>
    <x:t xml:space="preserve">2021</x:t>
  </x:si>
  <x:si>
    <x:t xml:space="preserve">Ökoverordnung  2021_279.pdf</x:t>
  </x:si>
  <x:si>
    <x:t xml:space="preserve">https://eur-lex.europa.eu/legal-content/DE/ALL/?uri=CELEX%3A32021R0279</x:t>
  </x:si>
  <x:si>
    <x:t xml:space="preserve">Mitglieder; QMS; Kontrollstelle</x:t>
  </x:si>
  <x:si>
    <x:t xml:space="preserve">Dokumente, Aufzeichnungen, Nichtkonformität und externe Verifizierung</x:t>
  </x:si>
  <x:si>
    <x:t xml:space="preserve">Art. 4 bis 7; https://eur-lex.europa.eu/legal-content/DE/ALL/?uri=CELEX%3A32021R0279</x:t>
  </x:si>
  <x:si>
    <x:t xml:space="preserve">SRC-007</x:t>
  </x:si>
  <x:si>
    <x:t xml:space="preserve">Verordnung (EG) Nr. 852/2004 über Lebensmittelhygiene</x:t>
  </x:si>
  <x:si>
    <x:t xml:space="preserve">konsolidiert 2021-03-24</x:t>
  </x:si>
  <x:si>
    <x:t xml:space="preserve">EUR-Lex</x:t>
  </x:si>
  <x:si>
    <x:t xml:space="preserve">https://eur-lex.europa.eu/legal-content/DE/ALL/?uri=CELEX%3A02004R0852-20210324</x:t>
  </x:si>
  <x:si>
    <x:t xml:space="preserve">Zeichennutzer; Weinbereitung/Verarbeitung</x:t>
  </x:si>
  <x:si>
    <x:t xml:space="preserve">Fachrechtliche HACCP-Baseline</x:t>
  </x:si>
  <x:si>
    <x:t xml:space="preserve">Art. 5 gilt für Verarbeitung nach der Primärproduktion; Primärproduktion ist ausgenommen.</x:t>
  </x:si>
  <x:si>
    <x:t xml:space="preserve">SRC-008</x:t>
  </x:si>
  <x:si>
    <x:t xml:space="preserve">Fachrechtliche Baseline</x:t>
  </x:si>
  <x:si>
    <x:t xml:space="preserve">Weinverordnung</x:t>
  </x:si>
  <x:si>
    <x:t xml:space="preserve">geltende Fassung</x:t>
  </x:si>
  <x:si>
    <x:t xml:space="preserve">Gesetze im Internet</x:t>
  </x:si>
  <x:si>
    <x:t xml:space="preserve">https://www.gesetze-im-internet.de/weinv_1995/BJNR063010995.html</x:t>
  </x:si>
  <x:si>
    <x:t xml:space="preserve">Weinbereitung/Verarbeitung; Antragsteller Qualitätsweinprüfung</x:t>
  </x:si>
  <x:si>
    <x:t xml:space="preserve">Analytischer und sensorischer Untersuchungsbefund der amtlichen Qualitätsweinprüfung</x:t>
  </x:si>
  <x:si>
    <x:t xml:space="preserve">§§ 22 und 23 sowie Anlage 10; https://www.gesetze-im-internet.de/weinv_1995/anlage_10.html</x:t>
  </x:si>
  <x:si>
    <x:t xml:space="preserve">SRC-009</x:t>
  </x:si>
  <x:si>
    <x:t xml:space="preserve">Düngeverordnung</x:t>
  </x:si>
  <x:si>
    <x:t xml:space="preserve">https://www.gesetze-im-internet.de/d_v_2017/__4.html</x:t>
  </x:si>
  <x:si>
    <x:t xml:space="preserve">Traubenerzeuger</x:t>
  </x:si>
  <x:si>
    <x:t xml:space="preserve">Ermittlung des verfügbaren Stickstoffs und Düngebedarfsermittlung</x:t>
  </x:si>
  <x:si>
    <x:t xml:space="preserve">§ 4 Abs. 4; Nmin-Bodenprobe ist eine mögliche, nicht generell die einzige Ermittlungsmethode.</x:t>
  </x:si>
  <x:si>
    <x:t xml:space="preserve">SRC-010</x:t>
  </x:si>
  <x:si>
    <x:t xml:space="preserve">SankeyMATIC-Code 1</x:t>
  </x:si>
  <x:si>
    <x:t xml:space="preserve">v2</x:t>
  </x:si>
  <x:si>
    <x:t xml:space="preserve">Sankey_Code_02_QZBW_nur_zertifizierungsspezifisch_v2.txt</x:t>
  </x:si>
  <x:si>
    <x:t xml:space="preserve">Im Blatt „SankeyMATIC-Codes“ dieser Arbeitsmappe enthalten</x:t>
  </x:si>
  <x:si>
    <x:t xml:space="preserve">Visualisierung</x:t>
  </x:si>
  <x:si>
    <x:t xml:space="preserve">Aus den enthaltenen Zeilen der Arbeitsversion neu generiert</x:t>
  </x:si>
  <x:si>
    <x:t xml:space="preserve">Zertifizierungsspezifisches QZBW-Szenario; Code und vorgeschalteter Gesamtflow werden aus den enthaltenen QZBW-Zeilen dieser Arbeitsmappe neu erzeugt.</x:t>
  </x:si>
  <x:si>
    <x:t xml:space="preserve">SRC-011</x:t>
  </x:si>
  <x:si>
    <x:t xml:space="preserve">SankeyMATIC-Code 2</x:t>
  </x:si>
  <x:si>
    <x:t xml:space="preserve">Sankey_Code_04_BioZBW_nur_zertifizierungsspezifisch_v2.txt</x:t>
  </x:si>
  <x:si>
    <x:t xml:space="preserve">Zertifizierungsspezifisches BioZBW-Szenario; Code und vorgeschalteter Gesamtflow werden aus den enthaltenen BioZBW-Zeilen dieser Arbeitsmappe neu erzeugt.</x:t>
  </x:si>
  <x:si>
    <x:t xml:space="preserve">SRC-012</x:t>
  </x:si>
  <x:si>
    <x:t xml:space="preserve">Programmbestimmungen QZBW</x:t>
  </x:si>
  <x:si>
    <x:t xml:space="preserve">Stand 01.01.2025</x:t>
  </x:si>
  <x:si>
    <x:t xml:space="preserve">01-Programmbestimmungen QZBW Stand 2025.pdf</x:t>
  </x:si>
  <x:si>
    <x:t xml:space="preserve">Alle QZBW-Akteure</x:t>
  </x:si>
  <x:si>
    <x:t xml:space="preserve">Verträge, Eigenkontrolle, Dokumentation, neutrale Kontrolle, Rückstandsuntersuchungen und Meldepflichten</x:t>
  </x:si>
  <x:si>
    <x:t xml:space="preserve">Zentrale Quelle der neu ergänzten zeilenbezogenen Zitate.</x:t>
  </x:si>
  <x:si>
    <x:t xml:space="preserve">SRC-013</x:t>
  </x:si>
  <x:si>
    <x:t xml:space="preserve">Teilnahmevereinbarung QZBW Pflanze</x:t>
  </x:si>
  <x:si>
    <x:t xml:space="preserve">Stand 05.12.2024</x:t>
  </x:si>
  <x:si>
    <x:t xml:space="preserve">01-Teilnahmevereinbarung  QZBW Pflanze 05122024.pdf</x:t>
  </x:si>
  <x:si>
    <x:t xml:space="preserve">Traubenerzeuger; Lizenznehmer</x:t>
  </x:si>
  <x:si>
    <x:t xml:space="preserve">Vertragliche Teilnahme und Pflichten des Erzeugerbetriebs</x:t>
  </x:si>
  <x:si>
    <x:t xml:space="preserve">Wörtlicher Beleg in Anforderungen_QZBW.</x:t>
  </x:si>
  <x:si>
    <x:t xml:space="preserve">SRC-014</x:t>
  </x:si>
  <x:si>
    <x:t xml:space="preserve">Datenschutzhinweise zur Teilnahmevereinbarung</x:t>
  </x:si>
  <x:si>
    <x:t xml:space="preserve">Stand 02.07.2021</x:t>
  </x:si>
  <x:si>
    <x:t xml:space="preserve">03-Datenschutzhinweise Teilnahmevereinbarung QZBW 02072021_1.pdf</x:t>
  </x:si>
  <x:si>
    <x:t xml:space="preserve">Datenschutz im Zusammenhang mit der Teilnahmevereinbarung</x:t>
  </x:si>
  <x:si>
    <x:t xml:space="preserve">SRC-015</x:t>
  </x:si>
  <x:si>
    <x:t xml:space="preserve">Zeichennutzungsvertrag QZBW</x:t>
  </x:si>
  <x:si>
    <x:t xml:space="preserve">Stand 28.05.2021</x:t>
  </x:si>
  <x:si>
    <x:t xml:space="preserve">01-Zeichennutzungsvertrag QZBW 28052021_1.pdf</x:t>
  </x:si>
  <x:si>
    <x:t xml:space="preserve">Zeichennutzer; Lizenznehmer</x:t>
  </x:si>
  <x:si>
    <x:t xml:space="preserve">Vertragliche Zeichennutzung</x:t>
  </x:si>
  <x:si>
    <x:t xml:space="preserve">Ergänzende Vertragsquelle.</x:t>
  </x:si>
  <x:si>
    <x:t xml:space="preserve">SRC-016</x:t>
  </x:si>
  <x:si>
    <x:t xml:space="preserve">Datenschutzhinweise zum Zeichennutzungsvertrag</x:t>
  </x:si>
  <x:si>
    <x:t xml:space="preserve">02-Datenschutzhinweise Zeichennutzungsvertrag QZBW 020720201_1.pdf</x:t>
  </x:si>
  <x:si>
    <x:t xml:space="preserve">Datenschutz im Zusammenhang mit dem Zeichennutzungsvertrag</x:t>
  </x:si>
  <x:si>
    <x:t xml:space="preserve">SRC-017</x:t>
  </x:si>
  <x:si>
    <x:t xml:space="preserve">Eigenkontrolle Erzeuger – Wein/Keltertrauben</x:t>
  </x:si>
  <x:si>
    <x:t xml:space="preserve">Version 2024</x:t>
  </x:si>
  <x:si>
    <x:t xml:space="preserve">Checklisten Eigenkontrolle Erzeuger-Wein EK CL ERZ ZA Wein Keltertrauben 2024_1.pdf</x:t>
  </x:si>
  <x:si>
    <x:t xml:space="preserve">Betriebsheft, Pflanzenschutz- und Düngedokumentation sowie Eigenkontrolle</x:t>
  </x:si>
  <x:si>
    <x:t xml:space="preserve">Wörtliche Belege in Anforderungen_QZBW.</x:t>
  </x:si>
  <x:si>
    <x:t xml:space="preserve">SRC-018</x:t>
  </x:si>
  <x:si>
    <x:t xml:space="preserve">Eigenkontrolle Zeichennutzer – Wein</x:t>
  </x:si>
  <x:si>
    <x:t xml:space="preserve">Eigenkontrolle pflanzliche Bereiche-EK CL ZN Wein 2024_1.pdf</x:t>
  </x:si>
  <x:si>
    <x:t xml:space="preserve">Zeichennutzer; Weinbereitung</x:t>
  </x:si>
  <x:si>
    <x:t xml:space="preserve">Eigenkontrolle, Rückverfolgbarkeit, Warenbegleitdokumente und GVO-Nachweise</x:t>
  </x:si>
  <x:si>
    <x:t xml:space="preserve">SRC-019</x:t>
  </x:si>
  <x:si>
    <x:t xml:space="preserve">Neutrale Kontrolle Landwirtschaftliche Betriebe – Zusatzcheckliste „Ohne Gentechnik“</x:t>
  </x:si>
  <x:si>
    <x:t xml:space="preserve">02-CL ERZ ZA Zusatzcheckliste Ohne Gentechnik 2025.pdf</x:t>
  </x:si>
  <x:si>
    <x:t xml:space="preserve">Traubenerzeuger; Zertifizierungsstelle</x:t>
  </x:si>
  <x:si>
    <x:t xml:space="preserve">Existenz und Titel der neutralen GVO-Zusatzcheckliste</x:t>
  </x:si>
  <x:si>
    <x:t xml:space="preserve">Dokumenttitel als wörtlicher Beleg in Anforderungen_QZBW.</x:t>
  </x:si>
  <x:si>
    <x:t xml:space="preserve">SRC-020</x:t>
  </x:si>
  <x:si>
    <x:t xml:space="preserve">Neutrale Kontrolle Zeichennutzer – Zusatzcheckliste „Ohne Gentechnik“</x:t>
  </x:si>
  <x:si>
    <x:t xml:space="preserve">02-CL ZNK Zusatzcheckliste Ohne Gentechnik 2025.pdf</x:t>
  </x:si>
  <x:si>
    <x:t xml:space="preserve">Zeichennutzer; Zertifizierungsstelle</x:t>
  </x:si>
  <x:si>
    <x:t xml:space="preserve">SRC-021</x:t>
  </x:si>
  <x:si>
    <x:t xml:space="preserve">Programmbestimmungen BioZBW</x:t>
  </x:si>
  <x:si>
    <x:t xml:space="preserve">Stand 01.01.2026</x:t>
  </x:si>
  <x:si>
    <x:t xml:space="preserve">Programmbestimmungen BioZeichenBW 2026.pdf</x:t>
  </x:si>
  <x:si>
    <x:t xml:space="preserve">Alle BioZBW-Akteure</x:t>
  </x:si>
  <x:si>
    <x:t xml:space="preserve">Teilnahme, Zeichennutzung, Eigenkontrolle, Dokumentation, Qualitätsprüfungen, Informationspflichten und neutrale Kontrolle</x:t>
  </x:si>
  <x:si>
    <x:t xml:space="preserve">Ersetzt in V9 die inhaltlich weitgehend identische Fassung 2025; neue Vollständigkeitsprüfung insbesondere zu Abschnitten 6.1, 6.4, 9.2–9.3 und 11.3–11.5.</x:t>
  </x:si>
  <x:si>
    <x:t xml:space="preserve">SRC-022</x:t>
  </x:si>
  <x:si>
    <x:t xml:space="preserve">Teilnahmeerklärung Erzeuger</x:t>
  </x:si>
  <x:si>
    <x:t xml:space="preserve">Stand 07.12.2017</x:t>
  </x:si>
  <x:si>
    <x:t xml:space="preserve">01-Teilnahmeerklärung Erzeuger BioZBW 07122017.pdf</x:t>
  </x:si>
  <x:si>
    <x:t xml:space="preserve">Erzeuger; Zeichennutzer; Lizenznehmer</x:t>
  </x:si>
  <x:si>
    <x:t xml:space="preserve">Teilnahme, Jahresproduktion, Anbaufläche und Datenschutz</x:t>
  </x:si>
  <x:si>
    <x:t xml:space="preserve">Wörtliche Belege in Anforderungen_BioZBW.</x:t>
  </x:si>
  <x:si>
    <x:t xml:space="preserve">SRC-023</x:t>
  </x:si>
  <x:si>
    <x:t xml:space="preserve">02-Zeichennutzungsvertrag Datenschutzhinweise BiOZBW 2024.docx</x:t>
  </x:si>
  <x:si>
    <x:t xml:space="preserve">Wörtlicher Beleg in Anforderungen_BioZBW.</x:t>
  </x:si>
  <x:si>
    <x:t xml:space="preserve">SRC-024</x:t>
  </x:si>
  <x:si>
    <x:t xml:space="preserve">Eigenkontrolle Zeichennutzer</x:t>
  </x:si>
  <x:si>
    <x:t xml:space="preserve">01-BioZBW EK CL ZA Zeichennutzer 2024_1.pdf</x:t>
  </x:si>
  <x:si>
    <x:t xml:space="preserve">Zeichennutzer; Verarbeitung</x:t>
  </x:si>
  <x:si>
    <x:t xml:space="preserve">Warenflusstrennung, Warenbegleitdokumente, Rückverfolgbarkeit und Eigenkontrolle</x:t>
  </x:si>
  <x:si>
    <x:t xml:space="preserve">SRC-025</x:t>
  </x:si>
  <x:si>
    <x:t xml:space="preserve">Arbeitsanleitung neutrale Kontrolle Zeichennutzer – Kombicheckliste</x:t>
  </x:si>
  <x:si>
    <x:t xml:space="preserve">01-AA ZA ZN Bio Kombicheckliste 2025.pdf</x:t>
  </x:si>
  <x:si>
    <x:t xml:space="preserve">Mengenabgleich, Wareneingang, Warenausgang und Kontrollvorgehen</x:t>
  </x:si>
  <x:si>
    <x:t xml:space="preserve">SRC-026</x:t>
  </x:si>
  <x:si>
    <x:t xml:space="preserve">Neutrale Kontrolle Zeichennutzer – Kombicheckliste Zusatzanforderungen</x:t>
  </x:si>
  <x:si>
    <x:t xml:space="preserve">02-CL ZA ZN Bio Kombicheckliste 2025.pdf</x:t>
  </x:si>
  <x:si>
    <x:t xml:space="preserve">Existenz und Titel der Kombicheckliste</x:t>
  </x:si>
  <x:si>
    <x:t xml:space="preserve">Dokumenttitel als wörtlicher Beleg in Anforderungen_BioZBW.</x:t>
  </x:si>
  <x:si>
    <x:t xml:space="preserve">SRC-027</x:t>
  </x:si>
  <x:si>
    <x:t xml:space="preserve">Stand 01.01.2023</x:t>
  </x:si>
  <x:si>
    <x:t xml:space="preserve">Teilnahmevereinbarung, Mitgliederverzeichnis, interne Kontrolle, Korrekturmaßnahmen, Rückverfolgbarkeit und QMS</x:t>
  </x:si>
  <x:si>
    <x:t xml:space="preserve">Bereits als SRC-004 enthalten; hier nochmals den neu ergänzten wörtlichen Belegen zugeordnet.</x:t>
  </x:si>
  <x:si>
    <x:t xml:space="preserve">SRC-028</x:t>
  </x:si>
  <x:si>
    <x:t xml:space="preserve">Delegierte Verordnung (EU) 2021/715 zu Anforderungen an Unternehmergruppen</x:t>
  </x:si>
  <x:si>
    <x:t xml:space="preserve">Ökoverordnung 2021_715.pdf</x:t>
  </x:si>
  <x:si>
    <x:t xml:space="preserve">https://eur-lex.europa.eu/legal-content/DE/ALL/?uri=CELEX:32021R0715</x:t>
  </x:si>
  <x:si>
    <x:t xml:space="preserve">Unternehmergruppe; QMS-verantwortliche Person; interne QMS-Kontrolleure; Mitglieder</x:t>
  </x:si>
  <x:si>
    <x:t xml:space="preserve">Direkte Grundlage für QMS-Verfahren, Schulungen, Inspektionsplanung, Zulassung, Rollen und Dokumentenpflege</x:t>
  </x:si>
  <x:si>
    <x:t xml:space="preserve">Ergänzt die bisher im Quellenregister enthaltenen Verordnungen (EU) 2018/848 und 2021/279.</x:t>
  </x:si>
  <x:si>
    <x:t xml:space="preserve">SRC-029</x:t>
  </x:si>
  <x:si>
    <x:t xml:space="preserve">Version 2025</x:t>
  </x:si>
  <x:si>
    <x:t xml:space="preserve">EK CL ZN Wein 2025.pdf</x:t>
  </x:si>
  <x:si>
    <x:t xml:space="preserve">Eigenkontrolle, Rückverfolgbarkeit, Warenbegleitdokumente, GVO-Nachweise und Warenflusstrennung</x:t>
  </x:si>
  <x:si>
    <x:t xml:space="preserve">Ergänzender wörtlicher Beleg für die QZBW-Warenflusstrennung als Zeichennutzerpflicht.</x:t>
  </x:si>
  <x:si>
    <x:t xml:space="preserve">SRC-030</x:t>
  </x:si>
  <x:si>
    <x:t xml:space="preserve">Teilnahmevereinbarung Gruppenzertifizierung – pflanzliche Bereiche</x:t>
  </x:si>
  <x:si>
    <x:t xml:space="preserve">Stand 2023</x:t>
  </x:si>
  <x:si>
    <x:t xml:space="preserve">Teilnahmevereinbarung QZBW Gruppenzertifizierung Pflanze 2023.pdf</x:t>
  </x:si>
  <x:si>
    <x:t xml:space="preserve">Erzeuger; Erzeugergruppe; externer Lizenznehmer; Zertifizierungsstelle</x:t>
  </x:si>
  <x:si>
    <x:t xml:space="preserve">Direkte vertragliche Einbindung des Gruppenmitglieds, Korrekturmeldungen, Kontrollauftrag und externe Lizenznehmerbeziehung</x:t>
  </x:si>
  <x:si>
    <x:t xml:space="preserve">Zentrale Quelle für die in V8 korrigierte Rollen- und Datenflusszuordnung.</x:t>
  </x:si>
  <x:si>
    <x:t xml:space="preserve">Untersuchungsgegenstand ist die gesamte Weinwertschöpfungskette. Monetarisiert werden ausschließlich eindeutig zertifizierungsbedingte, überwiegend am Schreibtisch ausgeführte Tätigkeiten der Erfassung, Übertragung, Prüfung, Verarbeitung, Ablage oder Kommunikation von Informationen. Physische Standort- und Vor-Ort-Kontrollen sowie fachrechtliche Baseline-Aufwände werden nicht eingerechnet.</x:t>
  </x:si>
  <x:si>
    <x:t xml:space="preserve">Zentrale Rechenannahmen</x:t>
  </x:si>
  <x:si>
    <x:t xml:space="preserve">Annahmen-ID</x:t>
  </x:si>
  <x:si>
    <x:t xml:space="preserve">Parameter</x:t>
  </x:si>
  <x:si>
    <x:t xml:space="preserve">Wert</x:t>
  </x:si>
  <x:si>
    <x:t xml:space="preserve">Einheit</x:t>
  </x:si>
  <x:si>
    <x:t xml:space="preserve">Betroffenes Programm</x:t>
  </x:si>
  <x:si>
    <x:t xml:space="preserve">Betroffener Akteur</x:t>
  </x:si>
  <x:si>
    <x:t xml:space="preserve">Begründung</x:t>
  </x:si>
  <x:si>
    <x:t xml:space="preserve">Quelle / Herleitung</x:t>
  </x:si>
  <x:si>
    <x:t xml:space="preserve">Unsicherheit</x:t>
  </x:si>
  <x:si>
    <x:t xml:space="preserve">ANN-001</x:t>
  </x:si>
  <x:si>
    <x:t xml:space="preserve">Stundensatz Betriebsleitung/Geschäftsführung</x:t>
  </x:si>
  <x:si>
    <x:t xml:space="preserve">EUR/Stunde</x:t>
  </x:si>
  <x:si>
    <x:t xml:space="preserve">Traubenerzeuger / Leitung</x:t>
  </x:si>
  <x:si>
    <x:t xml:space="preserve">Aus der internen Ausgangsarbeitsmappe übernommen</x:t>
  </x:si>
  <x:si>
    <x:t xml:space="preserve">Kostenpositionen_korr</x:t>
  </x:si>
  <x:si>
    <x:t xml:space="preserve">Empirischer Status nicht belegt</x:t>
  </x:si>
  <x:si>
    <x:t xml:space="preserve">Verwendet</x:t>
  </x:si>
  <x:si>
    <x:t xml:space="preserve">ANN-002</x:t>
  </x:si>
  <x:si>
    <x:t xml:space="preserve">Stundensatz Verwaltungskraft</x:t>
  </x:si>
  <x:si>
    <x:t xml:space="preserve">Genossenschaft / Zeichennutzer / Kontrollstelle</x:t>
  </x:si>
  <x:si>
    <x:t xml:space="preserve">ANN-003</x:t>
  </x:si>
  <x:si>
    <x:t xml:space="preserve">Stundensatz Facharbeiter*in</x:t>
  </x:si>
  <x:si>
    <x:t xml:space="preserve">Mehrere</x:t>
  </x:si>
  <x:si>
    <x:t xml:space="preserve">ANN-004</x:t>
  </x:si>
  <x:si>
    <x:t xml:space="preserve">Berechnung Gesamtzeit</x:t>
  </x:si>
  <x:si>
    <x:t xml:space="preserve">Fallzahl × Minuten je Vorgang ÷ 60</x:t>
  </x:si>
  <x:si>
    <x:t xml:space="preserve">Stunden</x:t>
  </x:si>
  <x:si>
    <x:t xml:space="preserve">Alle</x:t>
  </x:si>
  <x:si>
    <x:t xml:space="preserve">Transparente Formel je Tätigkeit</x:t>
  </x:si>
  <x:si>
    <x:t xml:space="preserve">Methodische Festlegung dieser Version</x:t>
  </x:si>
  <x:si>
    <x:t xml:space="preserve">Niedrig</x:t>
  </x:si>
  <x:si>
    <x:t xml:space="preserve">ANN-005</x:t>
  </x:si>
  <x:si>
    <x:t xml:space="preserve">Systemgrenze</x:t>
  </x:si>
  <x:si>
    <x:t xml:space="preserve">Gesamte Weinwertschöpfungskette</x:t>
  </x:si>
  <x:si>
    <x:t xml:space="preserve">Scope</x:t>
  </x:si>
  <x:si>
    <x:t xml:space="preserve">Traubenerzeuger bis Kontrollstelle</x:t>
  </x:si>
  <x:si>
    <x:t xml:space="preserve">Betrachtet werden Traubenerzeuger, Erzeugergemeinschaft, Zeichennutzer, Weinbereitung/Verarbeitung und Kontrollstelle</x:t>
  </x:si>
  <x:si>
    <x:t xml:space="preserve">Abstimmung 2026-07-23</x:t>
  </x:si>
  <x:si>
    <x:t xml:space="preserve">ANN-006</x:t>
  </x:si>
  <x:si>
    <x:t xml:space="preserve">Administrative Tätigkeit</x:t>
  </x:si>
  <x:si>
    <x:t xml:space="preserve">Erfassen, übertragen, prüfen, verarbeiten, ablegen oder kommunizieren von Informationen</x:t>
  </x:si>
  <x:si>
    <x:t xml:space="preserve">Definition</x:t>
  </x:si>
  <x:si>
    <x:t xml:space="preserve">Fokus auf Schreibtischtätigkeiten, die durch Digitalisierung oder kooperative Datennutzung erleichtert werden können</x:t>
  </x:si>
  <x:si>
    <x:t xml:space="preserve">ANN-007</x:t>
  </x:si>
  <x:si>
    <x:t xml:space="preserve">QZBW-Baseline</x:t>
  </x:si>
  <x:si>
    <x:t xml:space="preserve">Rechtskonforme Weinwertschöpfungskette ohne QZBW</x:t>
  </x:si>
  <x:si>
    <x:t xml:space="preserve">Baseline</x:t>
  </x:si>
  <x:si>
    <x:t xml:space="preserve">Nur zusätzlicher QZBW-Aufwand zählt</x:t>
  </x:si>
  <x:si>
    <x:t xml:space="preserve">Aufgabenstellung und Abstimmung</x:t>
  </x:si>
  <x:si>
    <x:t xml:space="preserve">ANN-008</x:t>
  </x:si>
  <x:si>
    <x:t xml:space="preserve">BioZBW-Baseline</x:t>
  </x:si>
  <x:si>
    <x:t xml:space="preserve">Rechtskonforme, bereits EU-ökologisch zertifizierte Weinwertschöpfungskette</x:t>
  </x:si>
  <x:si>
    <x:t xml:space="preserve">Normale EU-Öko-Zertifizierung wird nicht erneut als BioZBW-Zusatzaufwand berechnet</x:t>
  </x:si>
  <x:si>
    <x:t xml:space="preserve">ANN-009</x:t>
  </x:si>
  <x:si>
    <x:t xml:space="preserve">Prüfung vorhandener Betriebsaufzeichnungen</x:t>
  </x:si>
  <x:si>
    <x:t xml:space="preserve">Nur zusätzliche Prüfung einbezogen</x:t>
  </x:si>
  <x:si>
    <x:t xml:space="preserve">Abgrenzung</x:t>
  </x:si>
  <x:si>
    <x:t xml:space="preserve">Gruppeninterne Prüfungen</x:t>
  </x:si>
  <x:si>
    <x:t xml:space="preserve">Erstellung der zugrunde liegenden Dünge-, Pflanzenschutz-, Ernte- oder Verkaufsaufzeichnungen bleibt Baseline</x:t>
  </x:si>
  <x:si>
    <x:t xml:space="preserve">ANN-010</x:t>
  </x:si>
  <x:si>
    <x:t xml:space="preserve">Physische Standort- und Vor-Ort-Kontrollen</x:t>
  </x:si>
  <x:si>
    <x:t xml:space="preserve">Aus enger Rechnung ausgeschlossen</x:t>
  </x:si>
  <x:si>
    <x:t xml:space="preserve">Zeichennutzer / Kontrollstelle</x:t>
  </x:si>
  <x:si>
    <x:t xml:space="preserve">Keine reine Schreibtischtätigkeit; administrative Nachweisprüfung ist bereits separat erfasst</x:t>
  </x:si>
  <x:si>
    <x:t xml:space="preserve">ANN-011</x:t>
  </x:si>
  <x:si>
    <x:t xml:space="preserve">HACCP</x:t>
  </x:si>
  <x:si>
    <x:t xml:space="preserve">Anforderung ja, separater Zusatzkostenblock nein</x:t>
  </x:si>
  <x:si>
    <x:t xml:space="preserve">Weinbereitung/Verarbeitung</x:t>
  </x:si>
  <x:si>
    <x:t xml:space="preserve">HACCP ist bereits nach allgemeinem Lebensmittelhygienerecht erforderlich; QZBW/BioZBW kontrollieren den vorhandenen Nachweis</x:t>
  </x:si>
  <x:si>
    <x:t xml:space="preserve">Art. 5 VO (EG) 852/2004; https://eur-lex.europa.eu/legal-content/DE/ALL/?uri=CELEX%3A02004R0852-20210324</x:t>
  </x:si>
  <x:si>
    <x:t xml:space="preserve">ANN-012</x:t>
  </x:si>
  <x:si>
    <x:t xml:space="preserve">BioZBW-Gruppenzertifizierung</x:t>
  </x:si>
  <x:si>
    <x:t xml:space="preserve">Direkte EU-Grundlage und programmspezifische Extrapolation getrennt kennzeichnen</x:t>
  </x:si>
  <x:si>
    <x:t xml:space="preserve">Quellenlogik</x:t>
  </x:si>
  <x:si>
    <x:t xml:space="preserve">Unternehmergruppe / QMS</x:t>
  </x:si>
  <x:si>
    <x:t xml:space="preserve">Mitgliedsvereinbarung, Mitgliederliste, interne Kontrollen, Maßnahmen und Rückverfolgbarkeit sind weitgehend direkt belegt; Formate und Zeichennutzungsunterlagen teilweise extrapoliert</x:t>
  </x:si>
  <x:si>
    <x:t xml:space="preserve">Art. 36 VO 2018/848; Art. 5 bis 7 VO 2021/279</x:t>
  </x:si>
  <x:si>
    <x:t xml:space="preserve">Mittel</x:t>
  </x:si>
  <x:si>
    <x:t xml:space="preserve">ANN-013</x:t>
  </x:si>
  <x:si>
    <x:t xml:space="preserve">Betriebliche Eigenprüfung</x:t>
  </x:si>
  <x:si>
    <x:t xml:space="preserve">pro Jahr</x:t>
  </x:si>
  <x:si>
    <x:t xml:space="preserve">Zeichennutzer / Betrieb</x:t>
  </x:si>
  <x:si>
    <x:t xml:space="preserve">Gemäß Aufgabenstellung jährlich</x:t>
  </x:si>
  <x:si>
    <x:t xml:space="preserve">Aufgabenstellung 2026-07-23</x:t>
  </x:si>
  <x:si>
    <x:t xml:space="preserve">Zeitansatz bleibt Modellwert</x:t>
  </x:si>
  <x:si>
    <x:t xml:space="preserve">ANN-014</x:t>
  </x:si>
  <x:si>
    <x:t xml:space="preserve">Kontrollstellenaufwand versus Kontrollgebühren</x:t>
  </x:si>
  <x:si>
    <x:t xml:space="preserve">Getrennte Kostenperspektiven</x:t>
  </x:si>
  <x:si>
    <x:t xml:space="preserve">Modelliert wird Arbeitszeit der Kontrollstelle; keine belegten Gebühren, Rechnungen oder Förderzahlungen</x:t>
  </x:si>
  <x:si>
    <x:t xml:space="preserve">Interne Ausgangsarbeitsmappe</x:t>
  </x:si>
  <x:si>
    <x:t xml:space="preserve">Gebührenhöhe nicht belegt</x:t>
  </x:si>
  <x:si>
    <x:t xml:space="preserve">ANN-015</x:t>
  </x:si>
  <x:si>
    <x:t xml:space="preserve">Fallzahlen</x:t>
  </x:si>
  <x:si>
    <x:t xml:space="preserve">Werte je Kostenposition aus Ausgangsmodell</x:t>
  </x:si>
  <x:si>
    <x:t xml:space="preserve">Vorgänge/Bezugsgröße</x:t>
  </x:si>
  <x:si>
    <x:t xml:space="preserve">Unverändert übernommen; keine neuen empirischen Werte</x:t>
  </x:si>
  <x:si>
    <x:t xml:space="preserve">Kostenpositionen_korr, Spalte M</x:t>
  </x:si>
  <x:si>
    <x:t xml:space="preserve">Bezugszeitraum teilweise unklar</x:t>
  </x:si>
  <x:si>
    <x:t xml:space="preserve">ANN-016</x:t>
  </x:si>
  <x:si>
    <x:t xml:space="preserve">Zeitansätze</x:t>
  </x:si>
  <x:si>
    <x:t xml:space="preserve">Modellwerte aus Ausgangsmodell</x:t>
  </x:si>
  <x:si>
    <x:t xml:space="preserve">Minuten je Vorgang</x:t>
  </x:si>
  <x:si>
    <x:t xml:space="preserve">Abweichende Kommentarschätzungen bleiben als Unsicherheitsbereiche sichtbar; kein neuer Mittelwert</x:t>
  </x:si>
  <x:si>
    <x:t xml:space="preserve">Kostenpositionen_korr, Spalte N und Kommentare</x:t>
  </x:si>
  <x:si>
    <x:t xml:space="preserve">ANN-017</x:t>
  </x:si>
  <x:si>
    <x:t xml:space="preserve">Numerische Neuschätzungen</x:t>
  </x:si>
  <x:si>
    <x:t xml:space="preserve">Ja – ausschließlich transparent gekennzeichnete analoge Modellannahmen für neu identifizierte administrative Tätigkeiten</x:t>
  </x:si>
  <x:si>
    <x:t xml:space="preserve">Qualitätssicherung</x:t>
  </x:si>
  <x:si>
    <x:t xml:space="preserve">Nach der Harmonisierung mit der Datenflussanalyse werden normative, bislang unbepreiste Tätigkeiten mit zentralen Modellwerten ergänzt. Sie sind nicht empirisch erhoben und müssen validiert werden.</x:t>
  </x:si>
  <x:si>
    <x:t xml:space="preserve">Harmonisierung AP Kostenanalyse/Datenflussanalyse 2026-08-02</x:t>
  </x:si>
  <x:si>
    <x:t xml:space="preserve">Hoch</x:t>
  </x:si>
  <x:si>
    <x:t xml:space="preserve">ANN-018</x:t>
  </x:si>
  <x:si>
    <x:t xml:space="preserve">Spätere Publikationsfassung</x:t>
  </x:si>
  <x:si>
    <x:t xml:space="preserve">Interne Entwicklungsbezeichnungen entfernen</x:t>
  </x:si>
  <x:si>
    <x:t xml:space="preserve">Redaktioneller Folgeschritt</x:t>
  </x:si>
  <x:si>
    <x:t xml:space="preserve">Interner Prüfpfad bleibt archiviert; Ergebnistabellen des Abschlussberichts werden neutral formuliert und Änderungen zum Zwischenbericht methodisch erläutert</x:t>
  </x:si>
  <x:si>
    <x:t xml:space="preserve">Nicht Bestandteil dieser Arbeitsversion</x:t>
  </x:si>
  <x:si>
    <x:t xml:space="preserve">Vorgemerkt</x:t>
  </x:si>
  <x:si>
    <x:t xml:space="preserve">ANN-019</x:t>
  </x:si>
  <x:si>
    <x:t xml:space="preserve">Formulierungslogik der Anforderungsblätter</x:t>
  </x:si>
  <x:si>
    <x:t xml:space="preserve">Soll-Zustand – Objekt plus Verb – Quellenbeleg in derselben Zeile</x:t>
  </x:si>
  <x:si>
    <x:t xml:space="preserve">Darstellungsregel</x:t>
  </x:si>
  <x:si>
    <x:t xml:space="preserve">Fachliche Anforderung, auszuführende administrative Tätigkeit und Quellenbeleg werden ohne Doppelung getrennt dargestellt</x:t>
  </x:si>
  <x:si>
    <x:t xml:space="preserve">Abstimmung 2026-07-24</x:t>
  </x:si>
  <x:si>
    <x:t xml:space="preserve">ANN-020</x:t>
  </x:si>
  <x:si>
    <x:t xml:space="preserve">Programmspezifische Quellenlogik</x:t>
  </x:si>
  <x:si>
    <x:t xml:space="preserve">Normative Quelle strikt von Zahlenherkunft trennen</x:t>
  </x:si>
  <x:si>
    <x:t xml:space="preserve">QZBW-Blatt nennt keine BioZBW-Unterlage als Anforderungsquelle und umgekehrt; Übertragungen erscheinen nur unter Zahlenherkunft/Übertragungsstatus</x:t>
  </x:si>
  <x:si>
    <x:t xml:space="preserve">ANN-021</x:t>
  </x:si>
  <x:si>
    <x:t xml:space="preserve">Weinanalytik und Sensorik</x:t>
  </x:si>
  <x:si>
    <x:t xml:space="preserve">Fachrechtlicher Untersuchungsbefund statt einzelner QZBW-Zusatzkosten</x:t>
  </x:si>
  <x:si>
    <x:t xml:space="preserve">Alkohol, vergärbarer Zucker, Gesamtsäure und Sensorik sind Bestandteile der amtlichen Qualitätsweinprüfung; nur der QZBW-Qualitätsnachweis wird separat ausgewiesen</x:t>
  </x:si>
  <x:si>
    <x:t xml:space="preserve">Weinverordnung §§ 22 und 23 sowie Anlage 10; https://www.gesetze-im-internet.de/weinv_1995/anlage_10.html</x:t>
  </x:si>
  <x:si>
    <x:t xml:space="preserve">ANN-022</x:t>
  </x:si>
  <x:si>
    <x:t xml:space="preserve">Nmin</x:t>
  </x:si>
  <x:si>
    <x:t xml:space="preserve">Keine eigenständige QZBW-Analyseposition</x:t>
  </x:si>
  <x:si>
    <x:t xml:space="preserve">Erforderlich ist die Ermittlung und Dokumentation des verfügbaren Stickstoffs/Düngebedarfs; eine eigene Nmin-Laboranalyse ist nur eine mögliche Methode</x:t>
  </x:si>
  <x:si>
    <x:t xml:space="preserve">§ 4 Abs. 4 Düngeverordnung; https://www.gesetze-im-internet.de/d_v_2017/__4.html</x:t>
  </x:si>
  <x:si>
    <x:t xml:space="preserve">ANN-023</x:t>
  </x:si>
  <x:si>
    <x:t xml:space="preserve">SankeyMATIC-Szenarien</x:t>
  </x:si>
  <x:si>
    <x:t xml:space="preserve">Nur QZBW und BioZBW – jeweils zertifizierungsspezifisch</x:t>
  </x:si>
  <x:si>
    <x:t xml:space="preserve">Beide Codes beginnen mit einem Gesamtflow und verzweigen anschließend nach Akteur, Prozesskategorie und Tätigkeit</x:t>
  </x:si>
  <x:si>
    <x:t xml:space="preserve">ANN-024</x:t>
  </x:si>
  <x:si>
    <x:t xml:space="preserve">Rollen- und Systembegriffsabgrenzung</x:t>
  </x:si>
  <x:si>
    <x:t xml:space="preserve">Erzeugergruppe/Unternehmergruppe bleibt Zeichennutzer beziehungsweise Zertifikatsinhaber und wird nicht zum Lizenznehmer; QZBW verwendet QMS, EU-Bio verwendet QMS. Die monetarisierten Teilprozesse werden überschneidungsfrei ausgewiesen.</x:t>
  </x:si>
  <x:si>
    <x:t xml:space="preserve">Erzeugergemeinschaft / Zeichennutzer / Lizenznehmer</x:t>
  </x:si>
  <x:si>
    <x:t xml:space="preserve">Die Gruppe übernimmt gegenüber ihren Mitgliedern interne Bündelungs-, Kontroll- und Dokumentationsfunktionen, bleibt aber selbst durch Zeichennutzungsvertrag an einen separaten Lizenznehmer angebunden.</x:t>
  </x:si>
  <x:si>
    <x:t xml:space="preserve">QZBW-Programmbestimmungen 2025, Abschnitte 3.2 bis 3.5, 6.3 und 10.2; Anforderungen an Erzeugergruppen 2023, Abschnitte 1.2 bis 7; VO (EU) 2018/848 Art. 36; VO (EU) 2021/715; VO (EU) 2021/279 Art. 5 bis 7</x:t>
  </x:si>
  <x:si>
    <x:t xml:space="preserve">Ausschlussregister – interne Arbeitsfassung</x:t>
  </x:si>
  <x:si>
    <x:t xml:space="preserve">Der Ausschluss bedeutet nicht, dass die Anforderungen unwichtig sind. Er zeigt, dass sie außerhalb der engen Kostenrechnung digital unterstützbarer administrativer Tätigkeiten liegen, bereits zur fachrechtlichen Baseline gehören oder nicht belastbar quantifiziert werden konnten.</x:t>
  </x:si>
  <x:si>
    <x:t xml:space="preserve">Ausschluss-ID</x:t>
  </x:si>
  <x:si>
    <x:t xml:space="preserve">Ursprungszeile</x:t>
  </x:si>
  <x:si>
    <x:t xml:space="preserve">Ursprüngliche Position</x:t>
  </x:si>
  <x:si>
    <x:t xml:space="preserve">Ursprünglicher Betrag</x:t>
  </x:si>
  <x:si>
    <x:t xml:space="preserve">Ursprüngliche Quelle / Regelgrundlage</x:t>
  </x:si>
  <x:si>
    <x:t xml:space="preserve">Plausible ursprüngliche Aufnahmelogik</x:t>
  </x:si>
  <x:si>
    <x:t xml:space="preserve">Aktueller Prüfungsbefund / Ausschlussgrund</x:t>
  </x:si>
  <x:si>
    <x:t xml:space="preserve">Aktuelle Behandlung</x:t>
  </x:si>
  <x:si>
    <x:t xml:space="preserve">EX-001</x:t>
  </x:si>
  <x:si>
    <x:t xml:space="preserve">Kostenpositionen_korr!36:36</x:t>
  </x:si>
  <x:si>
    <x:t xml:space="preserve">Weinkellerei prüfen</x:t>
  </x:si>
  <x:si>
    <x:t xml:space="preserve">30.00 EUR</x:t>
  </x:si>
  <x:si>
    <x:t xml:space="preserve">QZBW-Programmbestimmungen 2026; BioZBW-Programmbestimmungen 2026; Ursprungsmodell</x:t>
  </x:si>
  <x:si>
    <x:t xml:space="preserve">Plausible Rekonstruktion: Die Anforderungen an Erzeugergruppen verlangen interne Audits aller zentralen Standorte, an denen Gruppenerzeugnisse aufbereitet, gelagert oder abgepackt werden.</x:t>
  </x:si>
  <x:si>
    <x:t xml:space="preserve">Ausgeschlossen: physische Standort- beziehungsweise Prozessprüfung; keine reine administrative Schreibtischtätigkeit.</x:t>
  </x:si>
  <x:si>
    <x:t xml:space="preserve">Anforderung bleibt im Anforderungsblatt sichtbar; Betrag fließt nicht in Kostenrechnung oder aktuellen Sankey-Code ein.</x:t>
  </x:si>
  <x:si>
    <x:t xml:space="preserve">EX-002</x:t>
  </x:si>
  <x:si>
    <x:t xml:space="preserve">Kostenpositionen_korr!37:37</x:t>
  </x:si>
  <x:si>
    <x:t xml:space="preserve">Abfüllbereich prüfen</x:t>
  </x:si>
  <x:si>
    <x:t xml:space="preserve">EX-003</x:t>
  </x:si>
  <x:si>
    <x:t xml:space="preserve">Kostenpositionen_korr!38:38</x:t>
  </x:si>
  <x:si>
    <x:t xml:space="preserve">Etikettierung prüfen</x:t>
  </x:si>
  <x:si>
    <x:t xml:space="preserve">15.00 EUR</x:t>
  </x:si>
  <x:si>
    <x:t xml:space="preserve">EX-004</x:t>
  </x:si>
  <x:si>
    <x:t xml:space="preserve">Kostenpositionen_korr!39:39</x:t>
  </x:si>
  <x:si>
    <x:t xml:space="preserve">Rohstofflager prüfen</x:t>
  </x:si>
  <x:si>
    <x:t xml:space="preserve">60.00 EUR</x:t>
  </x:si>
  <x:si>
    <x:t xml:space="preserve">EX-005</x:t>
  </x:si>
  <x:si>
    <x:t xml:space="preserve">Kostenpositionen_korr!40:40</x:t>
  </x:si>
  <x:si>
    <x:t xml:space="preserve">Maschinen prüfen</x:t>
  </x:si>
  <x:si>
    <x:t xml:space="preserve">EX-006</x:t>
  </x:si>
  <x:si>
    <x:t xml:space="preserve">Kostenpositionen_korr!41:41</x:t>
  </x:si>
  <x:si>
    <x:t xml:space="preserve">Flaschenlager prüfen</x:t>
  </x:si>
  <x:si>
    <x:t xml:space="preserve">EX-007</x:t>
  </x:si>
  <x:si>
    <x:t xml:space="preserve">EX-008</x:t>
  </x:si>
  <x:si>
    <x:t xml:space="preserve">EX-009</x:t>
  </x:si>
  <x:si>
    <x:t xml:space="preserve">EX-010</x:t>
  </x:si>
  <x:si>
    <x:t xml:space="preserve">EX-011</x:t>
  </x:si>
  <x:si>
    <x:t xml:space="preserve">EX-012</x:t>
  </x:si>
  <x:si>
    <x:t xml:space="preserve">EX-013</x:t>
  </x:si>
  <x:si>
    <x:t xml:space="preserve">Kostenpositionen_korr!52:52</x:t>
  </x:si>
  <x:si>
    <x:t xml:space="preserve">Checkliste zur neutralen Kontrolle (Landwirtschaftliche Betriebe)</x:t>
  </x:si>
  <x:si>
    <x:t xml:space="preserve">Plausible Rekonstruktion: Die neutrale Zertifizierungskontrolle muss die Einhaltung der QZBW-Anforderungen bei Betrieb beziehungsweise Zeichennutzer prüfen und dokumentieren.</x:t>
  </x:si>
  <x:si>
    <x:t xml:space="preserve">Ausgeschlossen: Zeitansatz bildet die Durchführung der Vor-Ort-Kontrolle ab; dokumentenbasierte Verifizierung wird separat berücksichtigt.</x:t>
  </x:si>
  <x:si>
    <x:t xml:space="preserve">Anforderung bleibt sichtbar; keine Monetarisierung in der engen administrativen Rechnung.</x:t>
  </x:si>
  <x:si>
    <x:t xml:space="preserve">EX-014</x:t>
  </x:si>
  <x:si>
    <x:t xml:space="preserve">Kostenpositionen_korr!53:53</x:t>
  </x:si>
  <x:si>
    <x:t xml:space="preserve">Checkliste zur neutralen Kontrolle - Zusatzcheckliste „Ohne Gentechnik“ (Landwirtschaftliche Betriebe)</x:t>
  </x:si>
  <x:si>
    <x:t xml:space="preserve">QZBW-Programmbestimmungen 2026; ZA Wein 2026; ggf. Anforderungen Erzeugergruppen 2023</x:t>
  </x:si>
  <x:si>
    <x:t xml:space="preserve">EX-015</x:t>
  </x:si>
  <x:si>
    <x:t xml:space="preserve">Kostenpositionen_korr!54:54</x:t>
  </x:si>
  <x:si>
    <x:t xml:space="preserve">Checkliste zur neutralen Kontrolle (Zeichennutzer) während der Inspektion</x:t>
  </x:si>
  <x:si>
    <x:t xml:space="preserve">90.00 EUR</x:t>
  </x:si>
  <x:si>
    <x:t xml:space="preserve">EX-016</x:t>
  </x:si>
  <x:si>
    <x:t xml:space="preserve">Kostenpositionen_korr!55:55</x:t>
  </x:si>
  <x:si>
    <x:t xml:space="preserve">Checkliste zur neutralen Kontrolle Zeichennutzer - „Ohne Gentechnik“ -   (Zeichennutzer)</x:t>
  </x:si>
  <x:si>
    <x:t xml:space="preserve">45.00 EUR</x:t>
  </x:si>
  <x:si>
    <x:t xml:space="preserve">EX-017</x:t>
  </x:si>
  <x:si>
    <x:t xml:space="preserve">Plausible Rekonstruktion: Die Kontrollstelle muss das interne Gruppensystem verifizieren und Mitglieder stichprobenartig erneut kontrollieren.</x:t>
  </x:si>
  <x:si>
    <x:t xml:space="preserve">Ausgeschlossen: Vor-Ort-Kontrolle; keine reine Schreibtischtätigkeit.</x:t>
  </x:si>
  <x:si>
    <x:t xml:space="preserve">Dokumentenbasierte Systemverifizierung und Kontrollstellenmeldung bleiben enthalten.</x:t>
  </x:si>
  <x:si>
    <x:t xml:space="preserve">EX-018</x:t>
  </x:si>
  <x:si>
    <x:t xml:space="preserve">Kostenpositionen_korr!56:56</x:t>
  </x:si>
  <x:si>
    <x:t xml:space="preserve">Kombicheckliste zur neutralen Kontrolle</x:t>
  </x:si>
  <x:si>
    <x:t xml:space="preserve">120.00 EUR</x:t>
  </x:si>
  <x:si>
    <x:t xml:space="preserve">BioZBW-Programmbestimmungen 2026; ZA BioZBW Pflanzlich 2026</x:t>
  </x:si>
  <x:si>
    <x:t xml:space="preserve">EX-019</x:t>
  </x:si>
  <x:si>
    <x:t xml:space="preserve">Kostenpositionen_korr!10:10</x:t>
  </x:si>
  <x:si>
    <x:t xml:space="preserve">Dokumentation eines HACCP-Konzepts (auf Betriebsebene)</x:t>
  </x:si>
  <x:si>
    <x:t xml:space="preserve">50.00 EUR</x:t>
  </x:si>
  <x:si>
    <x:t xml:space="preserve">Plausible Rekonstruktion: Die jeweilige Zusatzanforderung nennt ausdrücklich ein dokumentiertes HACCP-Konzept als Voraussetzung für Weinbereitung beziehungsweise Verarbeitung.</x:t>
  </x:si>
  <x:si>
    <x:t xml:space="preserve">Nicht als Zusatzkostenblock monetarisiert: HACCP ist für die Verarbeitung bereits nach allgemeinem Lebensmittelhygienerecht erforderlich.</x:t>
  </x:si>
  <x:si>
    <x:t xml:space="preserve">Beim Akteur Weinbereitung/Verarbeitung als relevante Baseline-Anforderung dokumentiert.</x:t>
  </x:si>
  <x:si>
    <x:t xml:space="preserve">EX-020</x:t>
  </x:si>
  <x:si>
    <x:t xml:space="preserve">Kostenpositionen_korr!43:43</x:t>
  </x:si>
  <x:si>
    <x:t xml:space="preserve">Dokumentation eines HACCP-Konzepts (in zentralen Einrichtungen)</x:t>
  </x:si>
  <x:si>
    <x:t xml:space="preserve">25.00 EUR</x:t>
  </x:si>
  <x:si>
    <x:t xml:space="preserve">EX-021</x:t>
  </x:si>
  <x:si>
    <x:t xml:space="preserve">EX-022</x:t>
  </x:si>
  <x:si>
    <x:t xml:space="preserve">Kostenpositionen_korr!12:12</x:t>
  </x:si>
  <x:si>
    <x:t xml:space="preserve">Analyseergebnis Zucker archivieren beziehungsweise bereithalten</x:t>
  </x:si>
  <x:si>
    <x:t xml:space="preserve">500.00 EUR – gemeinsame Mischposition für fünf Bestandteile</x:t>
  </x:si>
  <x:si>
    <x:t xml:space="preserve">Weinverordnung; QZBW – Zusatzanforderungen Wein 2025; Ausgangsmodell</x:t>
  </x:si>
  <x:si>
    <x:t xml:space="preserve">Plausible Rekonstruktion: Qualitätsnachweise sollten administrativ archiviert beziehungsweise bereitgehalten werden; mehrere Analysearten wurden zu einer Sammelposition verbunden.</x:t>
  </x:si>
  <x:si>
    <x:t xml:space="preserve">Als separate QZBW-Analyse ausgeschlossen: Der Parameter ist Bestandteil des fachrechtlichen Untersuchungsbefunds der amtlichen Qualitätsweinprüfung; kein zusätzlicher QZBW-Einzelaufwand belegt.</x:t>
  </x:si>
  <x:si>
    <x:t xml:space="preserve">Mit Zucker, Säure, Alkohol und Sensorik zu einer fachrechtlichen Baseline-Zeile „Untersuchungsbefund der amtlichen Qualitätsweinprüfung“ gebündelt; QZBW-Qualitätsnachweis bleibt separat und nicht monetarisiert.</x:t>
  </x:si>
  <x:si>
    <x:t xml:space="preserve">EX-023</x:t>
  </x:si>
  <x:si>
    <x:t xml:space="preserve">Analyseergebnis Säure archivieren beziehungsweise bereithalten</x:t>
  </x:si>
  <x:si>
    <x:t xml:space="preserve">EX-024</x:t>
  </x:si>
  <x:si>
    <x:t xml:space="preserve">Analyseergebnis Alkohol archivieren beziehungsweise bereithalten</x:t>
  </x:si>
  <x:si>
    <x:t xml:space="preserve">EX-025</x:t>
  </x:si>
  <x:si>
    <x:t xml:space="preserve">Analyseergebnis Sensorik archivieren beziehungsweise bereithalten</x:t>
  </x:si>
  <x:si>
    <x:t xml:space="preserve">EX-026</x:t>
  </x:si>
  <x:si>
    <x:t xml:space="preserve">Analyseergebnis Nmin archivieren beziehungsweise bereithalten</x:t>
  </x:si>
  <x:si>
    <x:t xml:space="preserve">Düngeverordnung; Ausgangsmodell</x:t>
  </x:si>
  <x:si>
    <x:t xml:space="preserve">Als separate QZBW-Analyse ausgeschlossen: Fachrechtlich ist die Ermittlung des verfügbaren Stickstoffs erforderlich, nicht generell eine eigene Nmin-Laboranalyse; zudem ist Labor-/Probenarbeit keine reine Schreibtischtätigkeit.</x:t>
  </x:si>
  <x:si>
    <x:t xml:space="preserve">In die fachrechtliche Baseline „Stickstoffdüngebedarf ermitteln sowie Düngemittelaufzeichnungen führen und ablegen“ integriert; kein separater Betrag.</x:t>
  </x:si>
  <x:si>
    <x:t xml:space="preserve">EX-027</x:t>
  </x:si>
  <x:si>
    <x:t xml:space="preserve">Kostenpositionen_korr!13:13</x:t>
  </x:si>
  <x:si>
    <x:t xml:space="preserve">Nachweise zur GVO-Freiheit</x:t>
  </x:si>
  <x:si>
    <x:t xml:space="preserve">Plausible Rekonstruktion: Neben der formalen GVO-Freiheitsbescheinigung sollten auch ergänzende Spezifikationen oder Nachweise vollständig abgelegt werden.</x:t>
  </x:si>
  <x:si>
    <x:t xml:space="preserve">Als Doppelzählung ausgeschlossen: Bescheinigung und zugehörige Nachweise bilden ein gemeinsames Nachweispaket; kein zweiter separater Arbeitsvorgang belegt.</x:t>
  </x:si>
  <x:si>
    <x:t xml:space="preserve">In die Position „GVO-Freiheitsbescheinigung ausfüllen beziehungsweise einholen und zusammen mit den zugehörigen Nachweisen ablegen“ integriert; nur einmal 60 Minuten beziehungsweise 50 EUR angesetzt.</x:t>
  </x:si>
  <x:si>
    <x:t xml:space="preserve">EX-028</x:t>
  </x:si>
  <x:si>
    <x:t xml:space="preserve">Kostenpositionen_korr!45:45</x:t>
  </x:si>
  <x:si>
    <x:t xml:space="preserve">Rückstandsuntersuchungen organisieren und Ergebnisse dokumentieren</x:t>
  </x:si>
  <x:si>
    <x:t xml:space="preserve">240.00 EUR</x:t>
  </x:si>
  <x:si>
    <x:t xml:space="preserve">QZBW-Programmbestimmungen 2025, Abschnitte 6.6 und 6.9</x:t>
  </x:si>
  <x:si>
    <x:t xml:space="preserve">Plausible Rekonstruktion: Die allgemeine Lizenznehmerverantwortung für Prüfpläne wurde als gruppenbezogener Wein-Aufwand interpretiert.</x:t>
  </x:si>
  <x:si>
    <x:t xml:space="preserve">Ausgeschlossen: Die produktspezifische Kontrollfrequenztabelle weist für Wein, Sekt und Perlwein keine Rückstandsuntersuchung aus; zudem wäre primär der Lizenznehmer verantwortlich und eine direkte Beauftragung des Zeichennutzers nur in Absprache möglich.</x:t>
  </x:si>
  <x:si>
    <x:t xml:space="preserve">Im Vollblatt als ausgeschlossene frühere Modellposition sichtbar; kein Betrag in Kostenrechnung, reduziertem Sankey-Datensatz oder Sankey-Code.</x:t>
  </x:si>
  <x:si>
    <x:t xml:space="preserve">ANN-025</x:t>
  </x:si>
  <x:si>
    <x:t xml:space="preserve">Warenflusstrennung QZBW/BioZBW</x:t>
  </x:si>
  <x:si>
    <x:t xml:space="preserve">Vorgang/Jahr</x:t>
  </x:si>
  <x:si>
    <x:t xml:space="preserve">Genossenschaft als Zeichennutzer</x:t>
  </x:si>
  <x:si>
    <x:t xml:space="preserve">Beide Programme verlangen eine nachvollziehbare Trennung von Programmware und Nichtprogrammware. Für die fortlaufende Pflicht wird ein jährlicher Modellvorgang angesetzt.</x:t>
  </x:si>
  <x:si>
    <x:t xml:space="preserve">QZBW ZA Wein 2025, S. 7, Abschnitt III.6; BioZBW ZA pflanzliche Produkte 2024, S. 9, Abschnitt III.6</x:t>
  </x:si>
  <x:si>
    <x:t xml:space="preserve">Mittlere Unsicherheit: Zeitansatz analog aus dem bestehenden BioZBW-Modell, nicht empirisch erhoben</x:t>
  </x:si>
  <x:si>
    <x:t xml:space="preserve">ANN-026</x:t>
  </x:si>
  <x:si>
    <x:t xml:space="preserve">Bereitstellung vorhandener Betriebsnachweise für das QMS</x:t>
  </x:si>
  <x:si>
    <x:t xml:space="preserve">Minuten je Mitglied/Jahr</x:t>
  </x:si>
  <x:si>
    <x:t xml:space="preserve">Zusammenstellen, Vollständigkeit prüfen und an die Gruppe übermitteln; Erstellung der Basisnachweise ausgeschlossen</x:t>
  </x:si>
  <x:si>
    <x:t xml:space="preserve">Analogie zu Formular-/Nachweisübermittlung in V7</x:t>
  </x:si>
  <x:si>
    <x:t xml:space="preserve">Hoch – nicht empirisch erhoben</x:t>
  </x:si>
  <x:si>
    <x:t xml:space="preserve">ANN-027</x:t>
  </x:si>
  <x:si>
    <x:t xml:space="preserve">Meldung der Umsetzung von Korrekturmaßnahmen</x:t>
  </x:si>
  <x:si>
    <x:t xml:space="preserve">Minuten je Ereignis</x:t>
  </x:si>
  <x:si>
    <x:t xml:space="preserve">Nur Dokumentation und Rückmeldung, keine physische Umsetzung</x:t>
  </x:si>
  <x:si>
    <x:t xml:space="preserve">Analogie zu kurzen Formular-/Kommunikationsvorgängen in V7</x:t>
  </x:si>
  <x:si>
    <x:t xml:space="preserve">Hoch – Fallhäufigkeit und Zeit nicht empirisch erhoben</x:t>
  </x:si>
  <x:si>
    <x:t xml:space="preserve">ANN-028</x:t>
  </x:si>
  <x:si>
    <x:t xml:space="preserve">QMS-Steuerungsaufgaben</x:t>
  </x:si>
  <x:si>
    <x:t xml:space="preserve">bis 60 Minuten je Vorgang</x:t>
  </x:si>
  <x:si>
    <x:t xml:space="preserve">Erzeugergruppe</x:t>
  </x:si>
  <x:si>
    <x:t xml:space="preserve">Je nach Tätigkeit: Statuspflege 15 Min.; Zulassung/Qualifikation/Planung 30 Min.; Schulungsdokumentation oder Rückverfolgbarkeitstest 60 Min.</x:t>
  </x:si>
  <x:si>
    <x:t xml:space="preserve">Analogie zu vorhandenen Verwaltungs- und Prüftätigkeiten in V7</x:t>
  </x:si>
  <x:si>
    <x:t xml:space="preserve">ANN-029</x:t>
  </x:si>
  <x:si>
    <x:t xml:space="preserve">Externe Kontrollvorbereitung und Zertifikatsadministration</x:t>
  </x:si>
  <x:si>
    <x:t xml:space="preserve">Kontrollstelle</x:t>
  </x:si>
  <x:si>
    <x:t xml:space="preserve">Termin-/Unterlagenkoordination und Zertifikatsentscheidung getrennt von Vor-Ort-Kontrolle und Kontrollstellenmeldung</x:t>
  </x:si>
  <x:si>
    <x:t xml:space="preserve">Analogie zu vorhandenen Kontrollstellen-Verwaltungstätigkeiten in V7</x:t>
  </x:si>
  <x:si>
    <x:t xml:space="preserve">Hoch – Abgrenzung empirisch zu prüfen</x:t>
  </x:si>
  <x:si>
    <x:t xml:space="preserve">ANN-030</x:t>
  </x:si>
  <x:si>
    <x:t xml:space="preserve">QMS-Kontrollpaket der Erzeugergruppe</x:t>
  </x:si>
  <x:si>
    <x:t xml:space="preserve">Minuten je Jahr</x:t>
  </x:si>
  <x:si>
    <x:t xml:space="preserve">Zusammenstellen und Übermitteln vorhandener QMS-Unterlagen; laufende Dokumentenpflege separat</x:t>
  </x:si>
  <x:si>
    <x:t xml:space="preserve">Analogie zu Dokumentenbündelung und Übermittlung in V7</x:t>
  </x:si>
  <x:si>
    <x:t xml:space="preserve">ANN-031</x:t>
  </x:si>
  <x:si>
    <x:t xml:space="preserve">Minuten je Gruppenaufnahme</x:t>
  </x:si>
  <x:si>
    <x:t xml:space="preserve">Prüfung/Gegenzeichnung des Zeichennutzungsvertrags und Weiterleitung der Programmanmeldung</x:t>
  </x:si>
  <x:si>
    <x:t xml:space="preserve">Rollenprüfung; Analogie zu Vertrags- und Meldevorgängen</x:t>
  </x:si>
  <x:si>
    <x:t xml:space="preserve">Hoch – Tätigkeitsumfang und Stundensatz empirisch zu prüfen</x:t>
  </x:si>
  <x:si>
    <x:t xml:space="preserve">ANN-032</x:t>
  </x:si>
  <x:si>
    <x:t xml:space="preserve">BioZBW-Eigenkontrolle Erzeuger</x:t>
  </x:si>
  <x:si>
    <x:t xml:space="preserve">Keine separate Position</x:t>
  </x:si>
  <x:si>
    <x:t xml:space="preserve">Keine programmspezifische Erzeuger-Eigenkontrollcheckliste gefunden; EU-Recht verlangt interne Kontrolle durch das QMS der Gruppe</x:t>
  </x:si>
  <x:si>
    <x:t xml:space="preserve">BioZBW ZA Pflanzliche Produkte 2025; BioZBW Eigenkontrolle Zeichennutzer 2024; VO (EU) 2018/848 und 2021/279</x:t>
  </x:si>
  <x:si>
    <x:t xml:space="preserve">ANN-033</x:t>
  </x:si>
  <x:si>
    <x:t xml:space="preserve">BioZBW-Warenflusstrennung beim Erzeuger</x:t>
  </x:si>
  <x:si>
    <x:t xml:space="preserve">Baseline/Rollenabgrenzung</x:t>
  </x:si>
  <x:si>
    <x:t xml:space="preserve">EU-Öko-Baseline und bisherige Quelle richtet sich an Zeichennutzer; BioZBW-Zeichennutzerpflicht bleibt enthalten</x:t>
  </x:si>
  <x:si>
    <x:t xml:space="preserve">BioZBW ZA Pflanzliche Produkte 2025, Abschnitt III.6; BioZBW Eigenkontrolle Zeichennutzer 2024</x:t>
  </x:si>
  <x:si>
    <x:t xml:space="preserve">ANN-034</x:t>
  </x:si>
  <x:si>
    <x:t xml:space="preserve">Unterschiedliche Zielsysteme der APs</x:t>
  </x:si>
  <x:si>
    <x:t xml:space="preserve">Datenflussanalyse bildet alle relevanten Nachweise und Datenflüsse ab; Kostenanalyse nur zusätzlichen Zertifizierungsaufwand</x:t>
  </x:si>
  <x:si>
    <x:t xml:space="preserve">Methodische Abgrenzung</x:t>
  </x:si>
  <x:si>
    <x:t xml:space="preserve">Doppelte Darstellung eines Nachweises in Fachrechts- und QMS-Prozess ist in der Datenflussanalyse zulässig; in der Kostenrechnung keine doppelte Monetarisierung</x:t>
  </x:si>
  <x:si>
    <x:t xml:space="preserve">Harmonisierung 2026-08-02</x:t>
  </x:si>
  <x:si>
    <x:t xml:space="preserve">ANN-035</x:t>
  </x:si>
  <x:si>
    <x:t xml:space="preserve">BioZBW-Produktaufstellung</x:t>
  </x:si>
  <x:si>
    <x:t xml:space="preserve">Zeichennutzer</x:t>
  </x:si>
  <x:si>
    <x:t xml:space="preserve">Aktualisieren, plausibilisieren und für Kontrollen bereitstellen</x:t>
  </x:si>
  <x:si>
    <x:t xml:space="preserve">Analogie zu Listenpflege und kurzer Nachweisadministration</x:t>
  </x:si>
  <x:si>
    <x:t xml:space="preserve">ANN-036</x:t>
  </x:si>
  <x:si>
    <x:t xml:space="preserve">BioZBW-Qualitätsprüfungsnachweis</x:t>
  </x:si>
  <x:si>
    <x:t xml:space="preserve">Minuten je Prüfzyklus; im Modell jährlich</x:t>
  </x:si>
  <x:si>
    <x:t xml:space="preserve">Nur Anmeldung, Zuordnung und Bereithaltung des Nachweises; Prüfung, Probe und Labor ausgeschlossen</x:t>
  </x:si>
  <x:si>
    <x:t xml:space="preserve">Analogie zur QZBW-Qualitätsnachweisposition</x:t>
  </x:si>
  <x:si>
    <x:t xml:space="preserve">Hoch – Prüforganisation und tatsächliche Frequenz empirisch zu prüfen</x:t>
  </x:si>
  <x:si>
    <x:t xml:space="preserve">ANN-037</x:t>
  </x:si>
  <x:si>
    <x:t xml:space="preserve">Jahresmeldung des BioZBW-Lizenznehmers</x:t>
  </x:si>
  <x:si>
    <x:t xml:space="preserve">Zusammenstellung, Prüfung, Trennung nach Produktbereichen und Übermittlung an MBW</x:t>
  </x:si>
  <x:si>
    <x:t xml:space="preserve">Analogie zu Vertrags- und Meldeadministration</x:t>
  </x:si>
  <x:si>
    <x:t xml:space="preserve">ANN-038</x:t>
  </x:si>
  <x:si>
    <x:t xml:space="preserve">Lohnverarbeitung</x:t>
  </x:si>
  <x:si>
    <x:t xml:space="preserve">Nicht im Basisszenario</x:t>
  </x:si>
  <x:si>
    <x:t xml:space="preserve">Bedingte Anforderung</x:t>
  </x:si>
  <x:si>
    <x:t xml:space="preserve">Vereinbarung und Kontrollstelleninformation nur bei ausgelagerten Verarbeitungsschritten</x:t>
  </x:si>
  <x:si>
    <x:t xml:space="preserve">BioZBW-Programmbestimmungen 2026, S. 23–24, Abschnitt 9.3</x:t>
  </x:si>
  <x:si>
    <x:t xml:space="preserve">Niedrig hinsichtlich Norm; Auslöser fallspezifisch</x:t>
  </x:si>
  <x:si>
    <x:t xml:space="preserve">Nicht monetarisiert</x:t>
  </x:si>
  <x:si>
    <x:t xml:space="preserve">ANN-039</x:t>
  </x:si>
  <x:si>
    <x:t xml:space="preserve">BioZBW-Informationspflichten auf Anfrage/bei Änderung</x:t>
  </x:si>
  <x:si>
    <x:t xml:space="preserve">Nicht im Standardjahr</x:t>
  </x:si>
  <x:si>
    <x:t xml:space="preserve">Ereignisabhängige Anforderung</x:t>
  </x:si>
  <x:si>
    <x:t xml:space="preserve">Erzeuger/Zeichennutzer</x:t>
  </x:si>
  <x:si>
    <x:t xml:space="preserve">Produktionsauskunft und Stammdatenänderung nur bei Anfrage oder tatsächlicher Änderung</x:t>
  </x:si>
  <x:si>
    <x:t xml:space="preserve">BioZBW-Programmbestimmungen 2026, S. 27, Abschnitt 11.3</x:t>
  </x:si>
  <x:si>
    <x:t xml:space="preserve">Niedrig hinsichtlich Norm; Häufigkeit offen</x:t>
  </x:si>
  <x:si>
    <x:t xml:space="preserve">SankeyMATIC-Codes – zertifizierungsspezifische Szenarien</x:t>
  </x:si>
  <x:si>
    <x:t xml:space="preserve">Diagramm 1: QZBW – nur zertifizierungsspezifisch</x:t>
  </x:si>
  <x:si>
    <x:t xml:space="preserve">Nummer</x:t>
  </x:si>
  <x:si>
    <x:t xml:space="preserve">Szenario</x:t>
  </x:si>
  <x:si>
    <x:t xml:space="preserve">nur zertifizierungsspezifisch</x:t>
  </x:si>
  <x:si>
    <x:t xml:space="preserve">Vollständiger SankeyMATIC-Code</x:t>
  </x:si>
  <x:si>
    <x:t xml:space="preserve">https://sankeymatic.com/build/?i=PTAEGUEMDsGsFMCeBZAggFQJIGFSGQCUARQC0AhAdX1GgFcAnUAL3joBcBLAM3cfZZugBzAM7CADvF7dhAYwAW8UJAAmAW3bR2w1nUgcAbouI1hexpBqcA7gBPoy%2BACgQoVLFY1IAGy182ALlAABgAWADoggA4wgCYgmIA2ZzBkAHtoeFZIOl8WVkV0Gw5BBHZ86ECQgGYAbggaVVV4QIBGKqqE2IBWUABRAFUAJWSiZHBQLVZQBwZ4DQUyn3lFAHkAIxYNwRzOTjDQTGh8ugzQAGl0nVSvL3hoUGENZVB0Oa8xOlTmUUUHYVHwGERgAFOSIR6yBSgYF0AA%2DnAEgjuABpQAAZSBrVJ0W6TRF3UACZ6aeRTCzCJFeABv2kUG2UGkE%2BWhnCWcnKDyeShMSMhXlSP2gQJcABE%2BKB4AAPSDuRS9RmYlhzBTQTjXJGgOQ2LxTNz5ejCAC0qMG11u0ENhPsLyK7BKc1YwjW1JkCCYJkgjTuQMcvpIFFAAG02gB2MJdAC6L10NA2GTozBoSLojnQMbjLETyaDLRi4ajr3YXmgkDkTUMdDm0DW2URoHUUxmfQT8CTLG2NDEElAH3hKKtx2Y7HkGXuRNAsI2dAb%2BWLqfTd0zrezgZikb6drusEunxuhuwCldPlp03g%2Dy8MGUVnYbEhkE4rDZBNImRy8DW%2D3JnFhNwJ48xtxItA84WBmLZtgwgZdEEUYAOIAGorIaABilbsAsjobJCVZ2nWX4%2DuaoAbLw8ByIiwhWHMwiKFWcjXH%2B1qMB6Xr3A2p73ExSJyFSORAaAABykDyJRWgEgB8BASBsaLuBK65vmoAinodyQjQrCMHIGgidR7oMIWxaluWSoaDWdB1rc1FjtaAiDnMI53FJYFZiwQZrlG8HYnIl6LqAL46HwH4lsJVGKN%2BDDKJA%2DyEGM7qmCxtK%2DlZzxNr0sntmZXaKJOLAzvAc5pqBMnOZB8nrv0qjUepdb6Ok5zYpW7j0KokAAPslmWBLKKksANHcHBKklp4MKlxUdpl9Z5Q4wH%2BpQgaRAAnNEIbrrBdwCpZd4Po4q3QOtKnyPeUyBiGIZ5uuqBqBoky6AYBS2vaZQEuwqgAkNzajRlEiOBd6iaNoN3sIYNrFKUHLPa9KVpXQY3dsGZ0Fm87VGWh1a1kI9ZlKeL2wZ9dwNoIPjwM8%2BGJaiNlLsOcijlaxPOhJDk%2DVd%2D16IDd0gw6T0vdF4yQx9naw25dVHLuXgVjokCCERkh8GRQgUSFQtXDcFgProku9pw%2Dbky2lPU%2D%2BdOSYzf3i7dwN2qDnMQy5I3Lul%2DOKHDMF9JKMh5YayCTUTynsKAYWgAAVkTZ6gDj9vQPjhPEyY36JTTE5Trlc5G9dLNA4U7OPfc4Pc29NsQTDDsJE78pAduwtmssR6TL8wcFdJ8bFf8GsMc8MJ9tD75%2DdM3W9UcfgM5dxsA2n90W1nXMxbztvQ7jObrsgrVI3cYheHYijN4Nbeax3axd11PVNH3A3fYPKem%2Bn5sc%2BPVvDVDBdBlUTvAqyMDMNAqnqSrQ4jvi9wb3HW92ydy0N3A%2BfV%2B7AWTszc%2Bo8r4TAnjza2d9Z6BkflGEUsIhDwETl%2DOyVNf49jhJrTeRCgG7xAfvXu%2DVKyQNPtA1mZsHpgwQbnZB9s55RkOMcU4qAaAMkdKAY4v0IFx14fwocrAV4wB7KyemtDhH0JHhnZhN93rT3vsdBSyAygEz4MoYQnA0KCEVPA0A8E%2DCGl4UBQ0MINC8DEIQvsg1KGH2oQPBRJsGEXyYZbHOU984oJaOuVKRx4C4N1gQ%2D%2B45AE7z3j3VxECT4eOHmzS%2BmdTF%2BKQXzcawZ1zwRYLAFWwhzByEIlE60MSkTkP%2BC48Bx8oGeKUWklRmTb7ZNhmg0AyFV7LBLEIRUf9SEkPblUuJYCj40KSUzRpqSfHX1aWogJ7DclRjRHwbe2ENDryGQA0hsSKHxLqZMhpKTGFjwyZPLJ6jAnrnINkRcCo5a1NCY44huyRnAJqYciZ7jpmnO8ec7Oly2nXOWUEqMgx4A%2DzltrC8fFymtz2aMg54y3HyL%2BanWZgKWH%2BOTBozpgxYSugrGqLwghTKg1EOCfIL0YBeWtFWYOdyaEbC0GIPgXh%2Dj5FpINVKyKvmosSSczFZy4FAsQSCpZOTwV1ToA1Dw05F6GU6vAbgmgBpx3KpVJictDHV3uM8tFUyh4ioBWKnFVypWwxlYJeQZcla3GmPQeQ345A0Ljnyz5oCqFCroTM0V6TxWsPaQ7GVL5ISUToFNCUdBOCRUsmTUJdBhA0F6aiWAq93XjkNb65JprYGBotZKvFKCQjrguOXPcoi1giXkORD4qRWDdTNKFWEbrfkmpgco3xwLFklrBedGteCCGFPyIIbEuQs3WhzfUv1%2DyC0tN7Xnft0q4hRm5oafJsbSw0NRKgOgrLHQwG0r%2DVEyFsSqBoBeSsojLDf3wVg%2B44kgKohVq4Rq3gyhFFeS3GRgEO1ny8QuntEq%2B12xyZ0jdFaHWwolgSJicVD4JUItmlyxA8hcB4H4ciyG6TGUdLOc0xrANNLmRc0Dy7wPWrySwON7aOL0FcJYJe1BWwuW0awXRQcGBiFkXxcc%2DFWwqxYzO45c783dvmUuth0r1yEE8D4bgo72DpCNKiYwF5RDkUtOOF8BMHRBTkNpRQGhuEuTEWUbEv7oMi1bDe3j%2D70WdqA5J8jwbQUQaduAOtXhIkXmpsIVI15FCHC8jqRQ459IZA6vYX43yjXCq7c0kD7mrUOzDCtXG0BmBsEw6On90BUSmZYAx7Eyg9bWiDc%2BhyO09rvwOg%2BHMiRuhRkSy55LT7OWgHQ5TO4tB1IsGI4orFcDvD%2DB670%2DrOXXLrgmyqKb5ExZq1ABZLWSb70Vdpo5ob%2DqzXpLG91vBfW1LTcDJ0QWSlygfw0lpBWTEXpzeO1VOWS2JYrbPL%2B7WG2APDYDRyA7j3oBTZcqg4um44A7groeDN1dTzjaO0Dk7LBPzRwIr%2B6rTmSMjf211wHwOSpybIOQQ08nP2sCKMIQz2kpabTeeOP2DI5Tg8tMRGW5FjOHdy9wEiZk5b2ts1LNCrAwvlB2%2DO1zAOEf46DNBKMzK7islhD8Jg15sL3Bmjp60%2DFKasBJ0Tw08vBE0M29QIScgao3BInIUy3qEnHxmq5EMTsbNmkNMAdDXOsP8DlrhxwLu9zu4w9z7DPvCOhrXa9KsfI%2BAtTZBMJN8ZFa2afdAelyUXL9CTXCgkFZMM89%2DZ66ptujkOX914N3HuODB%2B9yIXDHDnZmfV2MQ0ZehEaCUB%2BDgLE460bKywJ8SezSwb4jANUUaSt%2B8hwHyveeQ%2B17D0153U%2DOVh%2DDpNOs7emw1Q7lUxc9xeguzdpduY3IDFo8GtlacZRZzATLxXoPXvefz7yo6lZnOq%2BP%2DIn1TZyg6yid%2DaHJlNlg%2DvlqzqROzgrDPkpnoMIBFByJfonNNETg%2DMXJKGZgwGsm%2DIwNFk0CmAfugeiDwHcNgaRLgSgVGHjidotnkMtrilRtsk4nHEiEBN9vcIFsFtCJ8NsJ6M1Gvl4L%2DujCJMcLiKLo8MwKAFYKAC0CEEEEEI4KAJqKAJELIY4M1NDO3l4EofIaAAwDENoVMC0JENoWsKAHEI4GsJLDINcNiKAAAMS7AOGcD6G6DvxiD3JHACSOC7QOASGmHaFyCgBVBnTaHiBCSMigAhhVDGF94MByEKHC7YKKAyDaFWH8gMC2GRCZFZHaGpBuEyBlCIBSGOCshBagAyD0D6B6D0CKBBCxBJAKHzAsBlCGKpAvRZAdysApHWHpHzS9F9E5F5EFHBBhBlqOAXiICpBqSgAxESjSgyCdEKH%2BwmBV4TG8QaD%2DD8TaFLHaBcCIB3D6KgAACa2hlYFY1E3BYgARmxChegWQ8gGgVhqgK8mQZ4TarG9y2gYxioXWqRNhthshAJcRmo7APh1xwJggpSdo7IwxRhChaoRwcarsDwMARo1EOw2hPgGQoR%2BR6MQJlYF4t0YhigLQKhChzUggmgnAhR80SQF4GwBkTQSgmU2Q%2DwxxChRJoA802hIkEJUwMhchdJeUlRvmigkAzJyaRx2hCINwHwUKvgtUbJPYAoZQKmT6D4g2ChPJ0J%2DJXx9JYgypHAtUFgTan6FJoAhoLQIRywjJEgdAAA%2BtoHBlKTeNoFLGPk4AoWsJWDKPqaZqACEI4MKTQKFBenoKAAAORhDIjhnaGyncCSgRkxnsmWDxkRmgCAA1BDGQkU0KkLsJVEoKAPUURMECkSWQoc8HIU0FkBNH3KpjAAgIgM1BwDIJ4QoceF3jWP5q7KyaoakEDG1qRucpLr1ojgNgwIaLUUEF0FUEEqiBORECSZECGL2f2eJklmRkGnQTPOwvOVOTOV0KiJOTECEPNJaaoH2YoLVoKJtFMLufNCECEJEIeQuTEEEiuQUAuA3NPOaZOfeY%2Bc%2BaEDEIkO%2BYPtPg%2DjzjhgvneQ%2BU%2BT%2BREFUJEMeSBfgSVi5JgcQTgS5HeV0AkAkHOUeV0NIUAA</x:t>
  </x:si>
  <x:si>
    <x:t xml:space="preserve">Diagramm 2: BioZBW – nur zertifizierungsspezifisch</x:t>
  </x:si>
  <x:si>
    <x:t xml:space="preserve">https://sankeymatic.com/build/?i=PTAEGUEMDsGsFMCeBZAggFQJIGFSGQCUAIQEsB7ALUIHV9RoBXAJ1AC95GAXYgM2JePb1oAcwDOogA7x%2BvUQGMAFvFCQAJgFti0YqI6NIXAG7Ly9UQZaR63AO4AT6KvgAoEKFSwO9SABsdAzgAuUAAGABYAOhCADgiAJhC4gDZXMGRSaHgOSEZ%2Ddg5ldDsuYQRiAuhgsIBmAG4IenV1eGCARjiATlb4gFZQAFEAVQAlVNAARWRwUB0OUCdmeC0lcr9FZQB5ACN2HeFc7m4I0ExoAsZM0ABpDL1SHx94aFBRLVVQdCWfCUZSNnFlE5RBMphExgAFBSIV7yJSgcGMAA%2D3CEwieABpQAAZSBbUiMR6zVFPUBCd7aRRzKyiNE%2BABvumUO1UWmEBXh3DWCgqLzeKjMaNhPlIAOgYLcABEBKB4AAPSCeZT9Vm49hLJTQbj3NGgBR2HxzDwFJiiAC0mOG90e0FNpMcH2KxFKSw4oi29LkCFYZkgTSeYOcgZIFGooAA2kk4hEegBdD76eg7TKMNj0NGMZzoBNJ9ip9Ph9rRuOfYg%2BaCQBTNdiwHx2Rio0BotHQRE7ZgLUAAcSeItET1hkG4VJ8wPIS3W0AYHDYuWeZNAgzO7EylfY%2B3oEikoB%2ByIxdvObGIikyc%2DtrfYmg4BTLmezT1z8DT7ALUdjoAlBn7ino04UWhsSx9t6zAlmWFbNMYjBLNAWw5A2jx9qe7xCAe44KCet5WDmKaPvmYZxG%2BABq%2BIKDATiXIQWS5PAWyiOWigAToyjcIi7aQMCkzTCwPp%2BtAjIPCS84dou5wrs0jDrpuyjnowl7XtAmGJveOFPswYaFm%2BgzqH204NoYGTXPiUGeEw6iQAA%2B%2BWq7PKopCwI0TxcGqSHzM%2BInLvAq4SfWUmgM0Pjkc4waUDQYbRB0sQAOxvt20C9l%2BpFDs4sXxXxiiDnMYbRZFRbuBoWizPoRiFI6zrlCSxDqCC0wdv0KnppJUjOKg%2BXaLoRXEMYDolGUPKVdVrnMHVeZrj5W7qa%2BxZfFZEFqlosH1iIfnlK5VWdmNTyXsIfjwO81IsQJ0CYihD5Huhgn2rijzNs1rWFQYnUlT1LoVVVnGDQM9WjRu40EXGNxnL8DyQXokDCKAOz8J5qKiIxQEA3cDxWEO%2Bjgzu3B7idOFnSedp7e68A3S1mhtaDxXdU6vWvQNtVfd5P3KBNIRxsg5TbQICy2vOyDwAFu2fsQKgmb4eRQS5ABWdgKASZ0qDZJJYnwTwsGJz4yXJvMKcTBXtQ9XVFM95XPP1720yN9O%2BRGzMnEuFzKJxpoI0DjyucC60M9AW07aowIwKR9odjsegCO6Z0kgAcpADGAYCTCKCx0t7giu4STRbXzHZDlnAEF3vKzHDs7toDcFBTo0U8t0k%2Dd5MG5TL3G29UwfcNuHfZbrRvsgFkzU8Ei1pc6O5%2DCSIY6nWzp7Z9nNNnzmVzrZOPRTZV9Y3NXPi3qmNYz1TW%2BCnIwGwaUKD%2BljWIex7Es8g8ucno9ouPOgZ1Pjk51rd26zXpVUw3NPr3TW%2Dhh3nGCUiIRDwA1j4ZG590KX23CPIet81xp0fpPLOTkxZz1Jh1fWX964zFXs3f%2BG0CxvlOKJZQpxJDwE8GQXG5wq7OTxjbKhNCMiSEgVfTkhMK7aywXrJ6dcjb4N%2DkNIhDMSFxjqkuKBaEGBgKvvAm%2B8Cx4T0ztPdBPD34LxwYbFeIjPrmwAepIi1ZkaiEsAoa0cDdxKJTvfVRz8Z4YN4dXRetdl7U1Nn%2DQxxCwxANAAAMVrBOGAwhVQKJsUwxBKiUFqJfrPFxH83G4KESbJuZtW4W3Gh3OMit4Cj1hNBZQ18onKPsbExxGi35VySTowReivGiJ8eI4xcYqA5HvCqEQohUHqOKYo0pdjkHAl6fE5xWjsECI8T%2DRpBjMlGJyaAYY8AL7dKxpA5s1iMa2LvsMp%2BaDX6YNcXU6ZwjZkbwar4xZNxGDGS8LJbu4ESROF4NoRh84tI6W4t0kusxnlxKcZomp2ipnfzOek7x8yrlvkjooWAtxnax0YPHREicXJ1XKSMgFVSjm1NBXgtJa8mlQpaYsyisIAKMHIjKRg3B2KIWOrbUQ9AJyYhrHWIeozAXVPnpMpeYLCWEOaZbMIb4nZWi5vaVAWxGLfm6T8UgHA7JWmYqi8ZwK%2BXuIFQQjJm9oVxmlbK4%2B8jQCwE%2DMIfEotOXYsOYkkF%2DKCU6shXq0lb46pKFDusUAhF2C6DpOZeAmJ86Fx9lQ25Q8fUPMYCZbpkE8TshgPMaU4qHj8Rdv5QKdrNUpIaRC4lLr24JDjA7SNdK0WYncgSMGQ9UBn1kbA3115rSYgVF4EWrx3n2jbC6NNQLeX8Idakp1%2BbLktP8Q7FNPh1nVueNxcwvFe0uQ7JO3tEM5quibX2vhn9dGeLzXMgt40cqdzZt7dgfhGTLTmCu7IXhgTzkja8NhugyJCzbRe21EyB1asdfoi5bdskwsfMoYNZ7GCYgRKQVQ9BWF8WgisHkUHnw%2DqESU%2BcphIHiAbFynFWbv05r3USg9o725vi0OQ6qjsEUqqYMoDyk4SSiFIDYaUZC1SinhZqPwiomHjG8H4XgZquAGRw5%2BjV%2BHd0zP3f%2BrJ29rbkY8pRydj4oJMNAxzZ8sJ6BWPnOAb8U7un0QUHDYpXCiZfp3fUwjQqSWW2PXGd2UloAzi4IJgwWy9wKYuN6fEqhcbzkFVdbhCkUqigHEOAsYRuh%2DTyuJyzpzfCjjQk8KcM5cX2pQzyRLoAxxh0nCfZ8%2BE3y5YnKlmGINUagAQpjW20D%2DOXQJuZuLyTJMqBHDl5L%2BXpyFaSL0YBn4j4nz%2DNAEz3oqolY1GV2N%2BRKvVZcljOrW7jn4qEdlibKWCtqX8cqZsnHEY%2BHWJ6C97IgQdby6l31%2DJRAHWbW%2B%2DjVqXJBaa%2D2%2BLYK1udYu2pHo1t2li05IiAErAWOFNnfkHgfAAg8nnBSbkrAwe8ChpwEkkHoOKmeHoFLQ8jP6QeFDBQC19nqLEy9lrVnnjvfO5tiRRAyAhVNCjmD2RrBpobK2%2B7HaxZMJYswZTzxu3lEXel7NrWKelap60iY92ODFEkCPVnFnOpywzYx5j0oMXDKM3DHzVL6vvH5xwUiBoK7BVDPhSK1tJ2mmAGOTg4PEcw17c4S31v4cQ8EN01dTNi1Nz9q%2B4StsNkkkgnb1%2BTD1cPyxZUw5zubeubd4tMQnvFn9FlOQ54E7qMPHoVoFQtEuC8SYewLUVLz1h0MoDK007NkwGLwsBSMfXf2495ul8u8ynDKAqJzt7w%2BM5GyCODNrObLSmQKGdW5R5JO8zz4K3seQ%2Du8Ty3iXc%2BEcBBho5QpxBoNLS75z%2BcjmpDOdd0JtdeOYajZX8QITPSBugHH1eTWQVaem6SNbFP5DmCK0PirTy4lnDv48k%2DyVmc1Vi22tnWy62%2BTEAqzBg%2BlC0QnCzmDQ3tCbGVlkRVxY2UEg32F9DMk9l5m33BkYnOEJAqH%2D1T0AOxGAJ%2Dy8kAWtgACkKwoJRBB8d9nxQl4AhRUoSQZMmEIDPsaVF0mFE0WQQMx82wIEFJXg2BQAbBQBWgwgQgQhnBQBdRQBoglDnAzIJIc8fB1CVDQBmA4gDC5hWhogDCthQAEhnAthwY5B7h8RQAABiQ4Vw7gEw%2DQPiCQDpM4UAcOZwOKJwWQqwgwhQUAMIMIAwyQKOVkUASKaoCw3zZ8ZQ1Qg3cBZQOQAw%2Bw4UZgJw6IfIgogw0gbwuQcoRAeQ5wTkZjUAOQJgQwAwWjUIeIFIVQ5YdgcoEuUgKqbIVODgLIhw3IjoIY4Yookosopo0VZwSBRAUgH8UAJIxYeUOQPo1Q8WMwVzGY3IYQLQYEfw1Y9YngRAJ4H2UAAATQMKgkgj7BwIkDCL2JUCvCjmG3sPUD7iyE4KVToHgA6V0CmNVHa2yMcKcKUJBJSN1C32UHuL%2DGEEsSdFhxCAiEigMK1DODpTkGUHMD4lND7AOAML8EyGiNKKWjBKgkgWKmkOUFaE0NULMmEG0G4HKI6BSEgR2DAmaBUCkhyGBHONUIpNAA6AMMYhhLmEUOUJZN5nqKnWUEgE5MYG5ORO02%2BCglKKfWeB5O3BFHKFoRUCHHYEFKWGFPCM0PFO%2BE1OE3Jx%2DFIBFjpNCCiPWHZKkEYAAH0X00RkTiA5S5gdhi8XBVCtgoIFQJBSByNwjnBJT6BmJ8QzI5gAByCIdEGMgwn4fJYgWUUAGMxM3k6wXgNMmM0AQAGoJEy0jmhSBDgdIVBQAWiIZbTVC5Aaz5hbTmhsg%2DIX42EYAEBEBoyjw%2DC8TZhKpYIOF0T5T1BSAuoTcaAESqSQgkhIpMRTQESlCwgOhIogA</x:t>
  </x:si>
</x:sst>
</file>

<file path=xl/styles.xml><?xml version="1.0" encoding="utf-8"?>
<x:styleSheet xmlns:x="http://schemas.openxmlformats.org/spreadsheetml/2006/main">
  <x:numFmts count="4">
    <x:numFmt numFmtId="164" formatCode="0.0"/>
    <x:numFmt numFmtId="165" formatCode="#,##0.00\ &quot;EUR&quot;"/>
    <x:numFmt numFmtId="166" formatCode="yyyy\-mm\-dd"/>
    <x:numFmt numFmtId="167" formatCode="_-* #,##0.00\ [$€-407]_-;\-* #,##0.00\ [$€-407]_-;_-* &quot;-&quot;??\ [$€-407]_-;_-@_-"/>
  </x:numFmts>
  <x:fonts count="15">
    <x:font>
      <x:sz val="11"/>
      <x:name val="Carlito"/>
    </x:font>
    <x:font>
      <x:sz val="11"/>
      <x:color rgb="FF1F2937"/>
      <x:name val="Carlito"/>
    </x:font>
    <x:font>
      <x:b/>
      <x:sz val="11"/>
      <x:color rgb="FFFFFFFF"/>
      <x:name val="Carlito"/>
    </x:font>
    <x:font>
      <x:b/>
      <x:sz val="11"/>
      <x:color rgb="FF1F2937"/>
      <x:name val="Carlito"/>
    </x:font>
    <x:font>
      <x:b/>
      <x:sz val="11"/>
      <x:name val="Carlito"/>
    </x:font>
    <x:font>
      <x:sz val="9"/>
      <x:color rgb="FF1F2937"/>
      <x:name val="Consolas"/>
    </x:font>
    <x:font>
      <x:sz val="11"/>
      <x:name val="Carlito"/>
    </x:font>
    <x:font>
      <x:sz val="9"/>
      <x:name val="Carlito"/>
    </x:font>
    <x:font>
      <x:sz val="10"/>
      <x:color rgb="FF233342"/>
      <x:name val="Aptos"/>
    </x:font>
    <x:font>
      <x:b/>
      <x:sz val="10"/>
      <x:color rgb="FFFFFFFF"/>
      <x:name val="Aptos Display"/>
    </x:font>
    <x:font>
      <x:sz val="9"/>
      <x:color rgb="FF233342"/>
      <x:name val="Aptos"/>
    </x:font>
    <x:font>
      <x:sz val="11"/>
      <x:color theme="10"/>
      <x:name val="Carlito"/>
    </x:font>
    <x:font>
      <x:sz val="10"/>
      <x:name val="Carlito"/>
    </x:font>
    <x:font>
      <x:b/>
      <x:sz val="12"/>
      <x:color rgb="FFFFFFFF"/>
      <x:name val="Carlito"/>
    </x:font>
    <x:font>
      <x:b/>
      <x:sz val="10"/>
      <x:color rgb="FFFFFFFF"/>
      <x:name val="Carlito"/>
    </x:font>
  </x:fonts>
  <x:fills count="24">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DDEBF7"/>
      </x:patternFill>
    </x:fill>
    <x:fill>
      <x:patternFill patternType="solid">
        <x:fgColor rgb="FFFCE4D6"/>
      </x:patternFill>
    </x:fill>
    <x:fill>
      <x:patternFill patternType="solid">
        <x:fgColor rgb="FFF2F2F2"/>
      </x:patternFill>
    </x:fill>
    <x:fill>
      <x:patternFill patternType="solid">
        <x:fgColor rgb="FF17365D"/>
      </x:patternFill>
    </x:fill>
    <x:fill>
      <x:patternFill patternType="solid">
        <x:fgColor rgb="FFDCE6F1"/>
      </x:patternFill>
    </x:fill>
    <x:fill>
      <x:patternFill patternType="solid">
        <x:fgColor rgb="FF2F6B66"/>
      </x:patternFill>
    </x:fill>
    <x:fill>
      <x:patternFill patternType="solid">
        <x:fgColor rgb="FFE2F0D9"/>
      </x:patternFill>
    </x:fill>
    <x:fill>
      <x:patternFill patternType="solid">
        <x:fgColor rgb="FFFAFAFA"/>
      </x:patternFill>
    </x:fill>
    <x:fill>
      <x:patternFill patternType="solid">
        <x:fgColor rgb="FFFFFFFF"/>
      </x:patternFill>
    </x:fill>
    <x:fill>
      <x:patternFill patternType="solid">
        <x:fgColor rgb="FFD9EEF7"/>
      </x:patternFill>
    </x:fill>
    <x:fill>
      <x:patternFill patternType="solid">
        <x:fgColor rgb="FF1F4E78"/>
      </x:patternFill>
    </x:fill>
    <x:fill>
      <x:patternFill patternType="solid">
        <x:fgColor rgb="FFFFFFFF"/>
      </x:patternFill>
    </x:fill>
    <x:fill>
      <x:patternFill patternType="solid">
        <x:fgColor rgb="FFF7FAFC"/>
      </x:patternFill>
    </x:fill>
    <x:fill>
      <x:patternFill patternType="solid">
        <x:fgColor rgb="FFF2F7FB"/>
      </x:patternFill>
    </x:fill>
    <x:fill>
      <x:patternFill patternType="solid">
        <x:fgColor rgb="FF1F4E78"/>
      </x:patternFill>
    </x:fill>
    <x:fill>
      <x:patternFill patternType="solid">
        <x:fgColor rgb="FFD9EAF7"/>
      </x:patternFill>
    </x:fill>
    <x:fill>
      <x:patternFill patternType="solid">
        <x:fgColor rgb="FFD9EEF7"/>
      </x:patternFill>
    </x:fill>
    <x:fill>
      <x:patternFill patternType="solid">
        <x:fgColor rgb="FF17365D"/>
      </x:patternFill>
    </x:fill>
    <x:fill>
      <x:patternFill patternType="solid">
        <x:fgColor rgb="FF1F4E78"/>
      </x:patternFill>
    </x:fill>
    <x:fill>
      <x:patternFill patternType="solid">
        <x:fgColor rgb="FFDCE6F1"/>
      </x:patternFill>
    </x:fill>
  </x:fills>
  <x:borders count="19">
    <x:border/>
    <x:border>
      <x:top style="thin">
        <x:color rgb="FFD9E2E8"/>
      </x:top>
      <x:bottom style="thin">
        <x:color rgb="FFD9E2E8"/>
      </x:bottom>
    </x:border>
    <x:border>
      <x:top style="thin">
        <x:color rgb="FFD9E2E8"/>
      </x:top>
      <x:bottom style="thin">
        <x:color rgb="FFB7C9D6"/>
      </x:bottom>
    </x:border>
    <x:border>
      <x:left style="thin">
        <x:color rgb="FFB7C9D6"/>
      </x:left>
      <x:right style="thin">
        <x:color rgb="FFB7C9D6"/>
      </x:right>
      <x:top style="thin">
        <x:color rgb="FFB7C9D6"/>
      </x:top>
      <x:bottom style="thin">
        <x:color rgb="FFB7C9D6"/>
      </x:bottom>
    </x:border>
    <x:border>
      <x:left style="thin">
        <x:color rgb="FFB7C9D6"/>
      </x:left>
      <x:right style="thin">
        <x:color rgb="FFB7C9D6"/>
      </x:right>
      <x:top style="thin">
        <x:color rgb="FFB7C9D6"/>
      </x:top>
      <x:bottom style="thin">
        <x:color rgb="FFD9E2E8"/>
      </x:bottom>
    </x:border>
    <x:border>
      <x:top style="thin">
        <x:color rgb="FFB7C9D6"/>
      </x:top>
      <x:bottom style="thin">
        <x:color rgb="FFD9E2E8"/>
      </x:bottom>
    </x:border>
    <x:border>
      <x:right style="thin">
        <x:color rgb="FFB7C9D6"/>
      </x:right>
      <x:top style="thin">
        <x:color rgb="FFB7C9D6"/>
      </x:top>
      <x:bottom style="thin">
        <x:color rgb="FFD9E2E8"/>
      </x:bottom>
    </x:border>
    <x:border>
      <x:left style="thin">
        <x:color rgb="FFB7C9D6"/>
      </x:left>
      <x:top style="thin">
        <x:color rgb="FFD9E2E8"/>
      </x:top>
      <x:bottom style="thin">
        <x:color rgb="FFD9E2E8"/>
      </x:bottom>
    </x:border>
    <x:border>
      <x:right style="thin">
        <x:color rgb="FFB7C9D6"/>
      </x:right>
      <x:top style="thin">
        <x:color rgb="FFD9E2E8"/>
      </x:top>
      <x:bottom style="thin">
        <x:color rgb="FFD9E2E8"/>
      </x:bottom>
    </x:border>
    <x:border>
      <x:left style="thin">
        <x:color rgb="FFB7C9D6"/>
      </x:left>
      <x:right style="thin">
        <x:color rgb="FFB7C9D6"/>
      </x:right>
      <x:top style="thin">
        <x:color rgb="FFD9E2E8"/>
      </x:top>
      <x:bottom style="thin">
        <x:color rgb="FFD9E2E8"/>
      </x:bottom>
    </x:border>
    <x:border>
      <x:left style="thin">
        <x:color rgb="FFB7C9D6"/>
      </x:left>
      <x:top style="thin">
        <x:color rgb="FFD9E2E8"/>
      </x:top>
      <x:bottom style="thin">
        <x:color rgb="FFB7C9D6"/>
      </x:bottom>
    </x:border>
    <x:border>
      <x:right style="thin">
        <x:color rgb="FFB7C9D6"/>
      </x:right>
      <x:top style="thin">
        <x:color rgb="FFD9E2E8"/>
      </x:top>
      <x:bottom style="thin">
        <x:color rgb="FFB7C9D6"/>
      </x:bottom>
    </x:border>
    <x:border>
      <x:left style="thin">
        <x:color rgb="FFB7C9D6"/>
      </x:left>
      <x:top style="thin">
        <x:color rgb="FFB7C9D6"/>
      </x:top>
      <x:bottom style="thin">
        <x:color rgb="FFB7C9D6"/>
      </x:bottom>
    </x:border>
    <x:border>
      <x:top style="thin">
        <x:color rgb="FFB7C9D6"/>
      </x:top>
      <x:bottom style="thin">
        <x:color rgb="FFB7C9D6"/>
      </x:bottom>
    </x:border>
    <x:border>
      <x:right style="thin">
        <x:color rgb="FFB7C9D6"/>
      </x:right>
      <x:top style="thin">
        <x:color rgb="FFB7C9D6"/>
      </x:top>
      <x:bottom style="thin">
        <x:color rgb="FFB7C9D6"/>
      </x:bottom>
    </x:border>
    <x:border/>
    <x:border/>
    <x:border/>
    <x:border>
      <x:left style="thin">
        <x:color rgb="FFB7DDE8"/>
      </x:left>
      <x:right style="thin">
        <x:color rgb="FFB7DDE8"/>
      </x:right>
      <x:top style="thin">
        <x:color rgb="FFB7DDE8"/>
      </x:top>
      <x:bottom style="thin">
        <x:color rgb="FFB7DDE8"/>
      </x:bottom>
    </x:border>
  </x:borders>
  <x:cellStyleXfs count="5">
    <x:xf numFmtId="0" fontId="0" fillId="0" borderId="0"/>
    <x:xf numFmtId="0" fontId="6" fillId="0" borderId="0"/>
    <x:xf numFmtId="0" fontId="11" fillId="0" borderId="0" applyNumberFormat="0" applyFill="0" applyBorder="0" applyAlignment="0" applyProtection="0"/>
    <x:xf numFmtId="0" fontId="6" fillId="0" borderId="17"/>
    <x:xf numFmtId="0" fontId="6" fillId="0" borderId="17"/>
  </x:cellStyleXfs>
  <x:cellXfs count="113">
    <x:xf numFmtId="0" fontId="0" fillId="0" borderId="0" xfId="0"/>
    <x:xf numFmtId="0" fontId="2" fillId="2" borderId="3" xfId="1" applyFont="1" applyFill="1" applyBorder="1" applyAlignment="1">
      <x:alignment horizontal="center" vertical="top" wrapText="1"/>
    </x:xf>
    <x:xf numFmtId="0" fontId="0" fillId="0" borderId="0" xfId="1" applyFont="1" applyAlignment="1">
      <x:alignment vertical="top"/>
    </x:xf>
    <x:xf numFmtId="0" fontId="0" fillId="0" borderId="0" xfId="1" applyFont="1" applyAlignment="1">
      <x:alignment vertical="top" wrapText="1"/>
    </x:xf>
    <x:xf numFmtId="165" fontId="0" fillId="3" borderId="0" xfId="1" applyNumberFormat="1" applyFont="1" applyFill="1" applyAlignment="1">
      <x:alignment vertical="top" wrapText="1"/>
    </x:xf>
    <x:xf numFmtId="0" fontId="0" fillId="3" borderId="0" xfId="1" applyFont="1" applyFill="1" applyAlignment="1">
      <x:alignment vertical="top" wrapText="1"/>
    </x:xf>
    <x:xf numFmtId="166" fontId="0" fillId="0" borderId="0" xfId="1" applyNumberFormat="1" applyFont="1" applyAlignment="1">
      <x:alignment vertical="top" wrapText="1"/>
    </x:xf>
    <x:xf numFmtId="0" fontId="2" fillId="2" borderId="4" xfId="1" applyFont="1" applyFill="1" applyBorder="1" applyAlignment="1">
      <x:alignment horizontal="center" vertical="center" wrapText="1"/>
    </x:xf>
    <x:xf numFmtId="0" fontId="2" fillId="2" borderId="9" xfId="1" applyFont="1" applyFill="1" applyBorder="1" applyAlignment="1">
      <x:alignment horizontal="center" vertical="center" wrapText="1"/>
    </x:xf>
    <x:xf numFmtId="0" fontId="0" fillId="0" borderId="5" xfId="1" applyFont="1" applyBorder="1" applyAlignment="1">
      <x:alignment wrapText="1"/>
    </x:xf>
    <x:xf numFmtId="0" fontId="0" fillId="0" borderId="6" xfId="1" applyFont="1" applyBorder="1" applyAlignment="1">
      <x:alignment wrapText="1"/>
    </x:xf>
    <x:xf numFmtId="0" fontId="0" fillId="0" borderId="7" xfId="1" applyFont="1" applyBorder="1" applyAlignment="1">
      <x:alignment wrapText="1"/>
    </x:xf>
    <x:xf numFmtId="165" fontId="0" fillId="4" borderId="1" xfId="1" applyNumberFormat="1" applyFont="1" applyFill="1" applyBorder="1" applyAlignment="1">
      <x:alignment wrapText="1"/>
    </x:xf>
    <x:xf numFmtId="0" fontId="0" fillId="0" borderId="1" xfId="1" applyFont="1" applyBorder="1" applyAlignment="1">
      <x:alignment wrapText="1"/>
    </x:xf>
    <x:xf numFmtId="0" fontId="0" fillId="0" borderId="8" xfId="1" applyFont="1" applyBorder="1" applyAlignment="1">
      <x:alignment wrapText="1"/>
    </x:xf>
    <x:xf numFmtId="2" fontId="0" fillId="4" borderId="1" xfId="1" applyNumberFormat="1" applyFont="1" applyFill="1" applyBorder="1" applyAlignment="1">
      <x:alignment wrapText="1"/>
    </x:xf>
    <x:xf numFmtId="1" fontId="0" fillId="4" borderId="1" xfId="1" applyNumberFormat="1" applyFont="1" applyFill="1" applyBorder="1" applyAlignment="1">
      <x:alignment wrapText="1"/>
    </x:xf>
    <x:xf numFmtId="0" fontId="0" fillId="4" borderId="1" xfId="1" applyFont="1" applyFill="1" applyBorder="1" applyAlignment="1">
      <x:alignment wrapText="1"/>
    </x:xf>
    <x:xf numFmtId="2" fontId="0" fillId="4" borderId="8" xfId="1" applyNumberFormat="1" applyFont="1" applyFill="1" applyBorder="1" applyAlignment="1">
      <x:alignment wrapText="1"/>
    </x:xf>
    <x:xf numFmtId="0" fontId="4" fillId="8" borderId="0" xfId="1" applyFont="1" applyFill="1" applyAlignment="1">
      <x:alignment vertical="top"/>
    </x:xf>
    <x:xf numFmtId="0" fontId="2" fillId="2" borderId="0" xfId="1" applyFont="1" applyFill="1" applyAlignment="1">
      <x:alignment vertical="top"/>
    </x:xf>
    <x:xf numFmtId="0" fontId="7" fillId="12" borderId="0" xfId="0" applyFont="1" applyFill="1" applyAlignment="1">
      <x:alignment vertical="top" wrapText="1"/>
    </x:xf>
    <x:xf numFmtId="0" fontId="7" fillId="13" borderId="0" xfId="0" applyFont="1" applyFill="1" applyAlignment="1">
      <x:alignment vertical="top" wrapText="1"/>
    </x:xf>
    <x:xf numFmtId="166" fontId="7" fillId="13" borderId="0" xfId="0" applyNumberFormat="1" applyFont="1" applyFill="1" applyAlignment="1">
      <x:alignment vertical="top" wrapText="1"/>
    </x:xf>
    <x:xf numFmtId="0" fontId="10" fillId="15" borderId="15" xfId="0" applyFont="1" applyFill="1" applyBorder="1" applyAlignment="1">
      <x:alignment vertical="top" wrapText="1"/>
    </x:xf>
    <x:xf numFmtId="0" fontId="10" fillId="15" borderId="16" xfId="0" applyFont="1" applyFill="1" applyBorder="1" applyAlignment="1">
      <x:alignment vertical="top" wrapText="1"/>
    </x:xf>
    <x:xf numFmtId="0" fontId="10" fillId="15" borderId="17" xfId="0" applyFont="1" applyFill="1" applyBorder="1" applyAlignment="1">
      <x:alignment vertical="top" wrapText="1"/>
    </x:xf>
    <x:xf numFmtId="0" fontId="0" fillId="0" borderId="0" xfId="0" applyAlignment="1">
      <x:alignment vertical="top" wrapText="1"/>
    </x:xf>
    <x:xf numFmtId="0" fontId="0" fillId="0" borderId="0" xfId="0" applyAlignment="1">
      <x:alignment horizontal="left" vertical="center"/>
    </x:xf>
    <x:xf numFmtId="0" fontId="11" fillId="0" borderId="0" xfId="2" applyAlignment="1">
      <x:alignment vertical="top" wrapText="1"/>
    </x:xf>
    <x:xf numFmtId="0" fontId="2" fillId="14" borderId="3" xfId="1" applyFont="1" applyFill="1" applyBorder="1" applyAlignment="1">
      <x:alignment horizontal="center" vertical="center" wrapText="1"/>
    </x:xf>
    <x:xf numFmtId="0" fontId="6" fillId="0" borderId="17" xfId="4"/>
    <x:xf numFmtId="0" fontId="9" fillId="2" borderId="0" xfId="0" applyFont="1" applyFill="1" applyAlignment="1">
      <x:alignment horizontal="center" vertical="center" wrapText="1"/>
    </x:xf>
    <x:xf numFmtId="0" fontId="8" fillId="17" borderId="0" xfId="0" applyFont="1" applyFill="1" applyAlignment="1">
      <x:alignment vertical="top" wrapText="1"/>
    </x:xf>
    <x:xf numFmtId="0" fontId="0" fillId="0" borderId="0" xfId="0" applyAlignment="1">
      <x:alignment wrapText="1"/>
    </x:xf>
    <x:xf numFmtId="0" fontId="1" fillId="0" borderId="0" xfId="0" applyFont="1" applyAlignment="1">
      <x:alignment vertical="top" wrapText="1"/>
    </x:xf>
    <x:xf numFmtId="0" fontId="0" fillId="0" borderId="0" xfId="0" applyAlignment="1">
      <x:alignment vertical="top"/>
    </x:xf>
    <x:xf numFmtId="0" fontId="7" fillId="0" borderId="0" xfId="0" applyFont="1" applyAlignment="1">
      <x:alignment vertical="top" wrapText="1"/>
    </x:xf>
    <x:xf numFmtId="0" fontId="2" fillId="18" borderId="0" xfId="0" applyFont="1" applyFill="1" applyAlignment="1">
      <x:alignment horizontal="center" vertical="top" wrapText="1"/>
    </x:xf>
    <x:xf numFmtId="0" fontId="13" fillId="18" borderId="0" xfId="0" applyFont="1" applyFill="1" applyAlignment="1">
      <x:alignment vertical="center"/>
    </x:xf>
    <x:xf numFmtId="0" fontId="14" fillId="18" borderId="0" xfId="0" applyFont="1" applyFill="1" applyAlignment="1">
      <x:alignment horizontal="center" vertical="center" wrapText="1"/>
    </x:xf>
    <x:xf numFmtId="0" fontId="12" fillId="0" borderId="18" xfId="0" applyFont="1" applyBorder="1" applyAlignment="1">
      <x:alignment vertical="top" wrapText="1"/>
    </x:xf>
    <x:xf numFmtId="0" fontId="12" fillId="20" borderId="18" xfId="0" applyFont="1" applyFill="1" applyBorder="1" applyAlignment="1">
      <x:alignment vertical="top" wrapText="1"/>
    </x:xf>
    <x:xf numFmtId="0" fontId="2" fillId="21" borderId="0" xfId="0" applyFont="1" applyFill="1"/>
    <x:xf numFmtId="0" fontId="2" fillId="22" borderId="0" xfId="0" applyFont="1" applyFill="1" applyAlignment="1">
      <x:alignment wrapText="1"/>
    </x:xf>
    <x:xf numFmtId="0" fontId="0" fillId="23" borderId="0" xfId="0" applyFill="1" applyAlignment="1">
      <x:alignment wrapText="1"/>
    </x:xf>
    <x:xf numFmtId="0" fontId="4" fillId="23" borderId="0" xfId="0" applyFont="1" applyFill="1" applyAlignment="1">
      <x:alignment wrapText="1"/>
    </x:xf>
    <x:xf numFmtId="165" fontId="0" fillId="23" borderId="0" xfId="0" applyNumberFormat="1" applyFill="1" applyAlignment="1">
      <x:alignment wrapText="1"/>
    </x:xf>
    <x:xf numFmtId="165" fontId="4" fillId="23" borderId="0" xfId="0" applyNumberFormat="1" applyFont="1" applyFill="1" applyAlignment="1">
      <x:alignment wrapText="1"/>
    </x:xf>
    <x:xf numFmtId="0" fontId="2" fillId="2" borderId="3" xfId="0" applyFont="1" applyFill="1" applyBorder="1" applyAlignment="1">
      <x:alignment horizontal="center" vertical="center" wrapText="1"/>
    </x:xf>
    <x:xf numFmtId="0" fontId="1" fillId="0" borderId="1" xfId="0" applyFont="1" applyBorder="1" applyAlignment="1">
      <x:alignment vertical="top" wrapText="1"/>
    </x:xf>
    <x:xf numFmtId="2" fontId="1" fillId="3" borderId="1" xfId="0" applyNumberFormat="1" applyFont="1" applyFill="1" applyBorder="1" applyAlignment="1">
      <x:alignment vertical="top" wrapText="1"/>
    </x:xf>
    <x:xf numFmtId="164" fontId="1" fillId="3" borderId="1" xfId="0" applyNumberFormat="1" applyFont="1" applyFill="1" applyBorder="1" applyAlignment="1">
      <x:alignment vertical="top" wrapText="1"/>
    </x:xf>
    <x:xf numFmtId="2" fontId="1" fillId="4" borderId="1" xfId="0" applyNumberFormat="1" applyFont="1" applyFill="1" applyBorder="1" applyAlignment="1">
      <x:alignment vertical="top" wrapText="1"/>
    </x:xf>
    <x:xf numFmtId="165" fontId="1" fillId="3" borderId="1" xfId="0" applyNumberFormat="1" applyFont="1" applyFill="1" applyBorder="1" applyAlignment="1">
      <x:alignment vertical="top" wrapText="1"/>
    </x:xf>
    <x:xf numFmtId="165" fontId="1" fillId="4" borderId="1" xfId="0" applyNumberFormat="1" applyFont="1" applyFill="1" applyBorder="1" applyAlignment="1">
      <x:alignment vertical="top" wrapText="1"/>
    </x:xf>
    <x:xf numFmtId="0" fontId="1" fillId="5" borderId="1" xfId="0" applyFont="1" applyFill="1" applyBorder="1" applyAlignment="1">
      <x:alignment vertical="top" wrapText="1"/>
    </x:xf>
    <x:xf numFmtId="0" fontId="1" fillId="6" borderId="1" xfId="0" applyFont="1" applyFill="1" applyBorder="1" applyAlignment="1">
      <x:alignment vertical="top" wrapText="1"/>
    </x:xf>
    <x:xf numFmtId="0" fontId="1" fillId="0" borderId="2" xfId="0" applyFont="1" applyBorder="1" applyAlignment="1">
      <x:alignment vertical="top" wrapText="1"/>
    </x:xf>
    <x:xf numFmtId="0" fontId="1" fillId="6" borderId="2" xfId="0" applyFont="1" applyFill="1" applyBorder="1" applyAlignment="1">
      <x:alignment vertical="top" wrapText="1"/>
    </x:xf>
    <x:xf numFmtId="2" fontId="1" fillId="3" borderId="2" xfId="0" applyNumberFormat="1" applyFont="1" applyFill="1" applyBorder="1" applyAlignment="1">
      <x:alignment vertical="top" wrapText="1"/>
    </x:xf>
    <x:xf numFmtId="164" fontId="1" fillId="3" borderId="2" xfId="0" applyNumberFormat="1" applyFont="1" applyFill="1" applyBorder="1" applyAlignment="1">
      <x:alignment vertical="top" wrapText="1"/>
    </x:xf>
    <x:xf numFmtId="2" fontId="1" fillId="4" borderId="2" xfId="0" applyNumberFormat="1" applyFont="1" applyFill="1" applyBorder="1" applyAlignment="1">
      <x:alignment vertical="top" wrapText="1"/>
    </x:xf>
    <x:xf numFmtId="165" fontId="1" fillId="3" borderId="2" xfId="0" applyNumberFormat="1" applyFont="1" applyFill="1" applyBorder="1" applyAlignment="1">
      <x:alignment vertical="top" wrapText="1"/>
    </x:xf>
    <x:xf numFmtId="165" fontId="1" fillId="4" borderId="2" xfId="0" applyNumberFormat="1" applyFont="1" applyFill="1" applyBorder="1" applyAlignment="1">
      <x:alignment vertical="top" wrapText="1"/>
    </x:xf>
    <x:xf numFmtId="0" fontId="1" fillId="3" borderId="0" xfId="0" applyFont="1" applyFill="1" applyAlignment="1">
      <x:alignment vertical="top" wrapText="1"/>
    </x:xf>
    <x:xf numFmtId="0" fontId="1" fillId="4" borderId="0" xfId="0" applyFont="1" applyFill="1" applyAlignment="1">
      <x:alignment vertical="top" wrapText="1"/>
    </x:xf>
    <x:xf numFmtId="0" fontId="9" fillId="2" borderId="0" xfId="0" applyFont="1" applyFill="1" applyAlignment="1">
      <x:alignment horizontal="left" vertical="center" wrapText="1"/>
    </x:xf>
    <x:xf numFmtId="0" fontId="8" fillId="12" borderId="0" xfId="0" applyFont="1" applyFill="1" applyAlignment="1">
      <x:alignment horizontal="left" vertical="top" wrapText="1"/>
    </x:xf>
    <x:xf numFmtId="0" fontId="8" fillId="12" borderId="0" xfId="0" applyFont="1" applyFill="1" applyAlignment="1">
      <x:alignment vertical="top" wrapText="1"/>
    </x:xf>
    <x:xf numFmtId="0" fontId="8" fillId="3" borderId="0" xfId="0" applyFont="1" applyFill="1" applyAlignment="1">
      <x:alignment horizontal="center" vertical="top" wrapText="1"/>
    </x:xf>
    <x:xf numFmtId="2" fontId="8" fillId="3" borderId="0" xfId="0" applyNumberFormat="1" applyFont="1" applyFill="1" applyAlignment="1">
      <x:alignment horizontal="right" vertical="top" wrapText="1"/>
    </x:xf>
    <x:xf numFmtId="2" fontId="8" fillId="4" borderId="0" xfId="0" applyNumberFormat="1" applyFont="1" applyFill="1" applyAlignment="1">
      <x:alignment horizontal="right" vertical="top" wrapText="1"/>
    </x:xf>
    <x:xf numFmtId="167" fontId="8" fillId="3" borderId="0" xfId="0" applyNumberFormat="1" applyFont="1" applyFill="1" applyAlignment="1">
      <x:alignment horizontal="right" vertical="top" wrapText="1"/>
    </x:xf>
    <x:xf numFmtId="167" fontId="8" fillId="4" borderId="0" xfId="0" applyNumberFormat="1" applyFont="1" applyFill="1" applyAlignment="1">
      <x:alignment horizontal="right" vertical="top" wrapText="1"/>
    </x:xf>
    <x:xf numFmtId="0" fontId="8" fillId="16" borderId="0" xfId="0" applyFont="1" applyFill="1" applyAlignment="1">
      <x:alignment horizontal="left" vertical="top" wrapText="1"/>
    </x:xf>
    <x:xf numFmtId="0" fontId="8" fillId="16" borderId="0" xfId="0" applyFont="1" applyFill="1" applyAlignment="1">
      <x:alignment vertical="top" wrapText="1"/>
    </x:xf>
    <x:xf numFmtId="0" fontId="12" fillId="16" borderId="0" xfId="0" applyFont="1" applyFill="1" applyAlignment="1">
      <x:alignment vertical="top" wrapText="1"/>
    </x:xf>
    <x:xf numFmtId="0" fontId="12" fillId="3" borderId="0" xfId="0" applyFont="1" applyFill="1" applyAlignment="1">
      <x:alignment horizontal="center" vertical="top" wrapText="1"/>
    </x:xf>
    <x:xf numFmtId="0" fontId="12" fillId="3" borderId="0" xfId="0" applyFont="1" applyFill="1" applyAlignment="1">
      <x:alignment horizontal="right" vertical="top" wrapText="1"/>
    </x:xf>
    <x:xf numFmtId="0" fontId="12" fillId="4" borderId="0" xfId="0" applyFont="1" applyFill="1" applyAlignment="1">
      <x:alignment horizontal="right" vertical="top" wrapText="1"/>
    </x:xf>
    <x:xf numFmtId="0" fontId="12" fillId="17" borderId="0" xfId="0" applyFont="1" applyFill="1" applyAlignment="1">
      <x:alignment vertical="top" wrapText="1"/>
    </x:xf>
    <x:xf numFmtId="165" fontId="8" fillId="3" borderId="0" xfId="0" applyNumberFormat="1" applyFont="1" applyFill="1" applyAlignment="1">
      <x:alignment horizontal="right" vertical="top" wrapText="1"/>
    </x:xf>
    <x:xf numFmtId="165" fontId="8" fillId="4" borderId="0" xfId="0" applyNumberFormat="1" applyFont="1" applyFill="1" applyAlignment="1">
      <x:alignment horizontal="right" vertical="top" wrapText="1"/>
    </x:xf>
    <x:xf numFmtId="0" fontId="2" fillId="2" borderId="0" xfId="1" applyFont="1" applyFill="1" applyAlignment="1">
      <x:alignment horizontal="left" vertical="top" wrapText="1"/>
    </x:xf>
    <x:xf numFmtId="0" fontId="0" fillId="0" borderId="0" xfId="0" applyAlignment="1">
      <x:alignment horizontal="left" vertical="top" wrapText="1"/>
    </x:xf>
    <x:xf numFmtId="0" fontId="0" fillId="0" borderId="0" xfId="0" applyAlignment="1">
      <x:alignment wrapText="1"/>
    </x:xf>
    <x:xf numFmtId="0" fontId="2" fillId="7" borderId="0" xfId="1" applyFont="1" applyFill="1" applyAlignment="1">
      <x:alignment horizontal="left" vertical="center"/>
    </x:xf>
    <x:xf numFmtId="0" fontId="0" fillId="8" borderId="0" xfId="1" applyFont="1" applyFill="1" applyAlignment="1">
      <x:alignment vertical="top" wrapText="1"/>
    </x:xf>
    <x:xf numFmtId="0" fontId="2" fillId="9" borderId="7" xfId="1" applyFont="1" applyFill="1" applyBorder="1" applyAlignment="1">
      <x:alignment wrapText="1"/>
    </x:xf>
    <x:xf numFmtId="0" fontId="2" fillId="9" borderId="1" xfId="1" applyFont="1" applyFill="1" applyBorder="1" applyAlignment="1">
      <x:alignment wrapText="1"/>
    </x:xf>
    <x:xf numFmtId="0" fontId="2" fillId="9" borderId="8" xfId="1" applyFont="1" applyFill="1" applyBorder="1" applyAlignment="1">
      <x:alignment wrapText="1"/>
    </x:xf>
    <x:xf numFmtId="0" fontId="0" fillId="0" borderId="7" xfId="1" applyFont="1" applyBorder="1" applyAlignment="1">
      <x:alignment vertical="top" wrapText="1"/>
    </x:xf>
    <x:xf numFmtId="0" fontId="0" fillId="0" borderId="1" xfId="1" applyFont="1" applyBorder="1" applyAlignment="1">
      <x:alignment vertical="top" wrapText="1"/>
    </x:xf>
    <x:xf numFmtId="0" fontId="0" fillId="0" borderId="8" xfId="1" applyFont="1" applyBorder="1" applyAlignment="1">
      <x:alignment vertical="top" wrapText="1"/>
    </x:xf>
    <x:xf numFmtId="0" fontId="0" fillId="0" borderId="10" xfId="1" applyFont="1" applyBorder="1" applyAlignment="1">
      <x:alignment vertical="top" wrapText="1"/>
    </x:xf>
    <x:xf numFmtId="0" fontId="0" fillId="0" borderId="2" xfId="1" applyFont="1" applyBorder="1" applyAlignment="1">
      <x:alignment vertical="top" wrapText="1"/>
    </x:xf>
    <x:xf numFmtId="0" fontId="0" fillId="0" borderId="11" xfId="1" applyFont="1" applyBorder="1" applyAlignment="1">
      <x:alignment vertical="top" wrapText="1"/>
    </x:xf>
    <x:xf numFmtId="0" fontId="2" fillId="7" borderId="0" xfId="1" applyFont="1" applyFill="1" applyAlignment="1">
      <x:alignment vertical="center"/>
    </x:xf>
    <x:xf numFmtId="0" fontId="2" fillId="9" borderId="0" xfId="1" applyFont="1" applyFill="1" applyAlignment="1">
      <x:alignment vertical="top" wrapText="1"/>
    </x:xf>
    <x:xf numFmtId="0" fontId="0" fillId="5" borderId="0" xfId="1" applyFont="1" applyFill="1" applyAlignment="1">
      <x:alignment vertical="top" wrapText="1"/>
    </x:xf>
    <x:xf numFmtId="0" fontId="12" fillId="19" borderId="0" xfId="0" applyFont="1" applyFill="1" applyAlignment="1">
      <x:alignment vertical="center" wrapText="1"/>
    </x:xf>
    <x:xf numFmtId="0" fontId="2" fillId="7" borderId="0" xfId="1" applyFont="1" applyFill="1" applyAlignment="1">
      <x:alignment vertical="top"/>
    </x:xf>
    <x:xf numFmtId="0" fontId="3" fillId="10" borderId="0" xfId="1" applyFont="1" applyFill="1" applyAlignment="1">
      <x:alignment vertical="top"/>
    </x:xf>
    <x:xf numFmtId="0" fontId="0" fillId="0" borderId="0" xfId="1" applyFont="1" applyAlignment="1">
      <x:alignment horizontal="left" vertical="top" wrapText="1"/>
    </x:xf>
    <x:xf numFmtId="0" fontId="5" fillId="11" borderId="12" xfId="1" applyFont="1" applyFill="1" applyBorder="1" applyAlignment="1">
      <x:alignment horizontal="left" vertical="top" wrapText="1"/>
    </x:xf>
    <x:xf numFmtId="0" fontId="5" fillId="11" borderId="13" xfId="1" applyFont="1" applyFill="1" applyBorder="1" applyAlignment="1">
      <x:alignment horizontal="left" vertical="top" wrapText="1"/>
    </x:xf>
    <x:xf numFmtId="0" fontId="5" fillId="11" borderId="14" xfId="1" applyFont="1" applyFill="1" applyBorder="1" applyAlignment="1">
      <x:alignment horizontal="left" vertical="top" wrapText="1"/>
    </x:xf>
    <x:xf numFmtId="0" fontId="5" fillId="11" borderId="12" xfId="1" applyFont="1" applyFill="1" applyBorder="1" applyAlignment="1">
      <x:alignment vertical="top" wrapText="1"/>
    </x:xf>
    <x:xf numFmtId="0" fontId="5" fillId="11" borderId="13" xfId="1" applyFont="1" applyFill="1" applyBorder="1" applyAlignment="1">
      <x:alignment vertical="top" wrapText="1"/>
    </x:xf>
    <x:xf numFmtId="0" fontId="5" fillId="11" borderId="14" xfId="1" applyFont="1" applyFill="1" applyBorder="1" applyAlignment="1">
      <x:alignment vertical="top" wrapText="1"/>
    </x:xf>
    <x:xf numFmtId="0" fontId="4" fillId="0" borderId="0" xfId="0" applyNumberFormat="1" applyFont="1" applyFill="1" applyBorder="1" applyAlignment="1">
      <x:alignment vertical="top"/>
    </x:xf>
    <x:xf numFmtId="0" fontId="0" fillId="0" borderId="0" xfId="0" applyNumberFormat="1" applyFont="1" applyFill="1" applyBorder="1" applyAlignment="1">
      <x:alignment vertical="top" wrapText="1"/>
    </x:xf>
  </x:cellXfs>
  <x:cellStyles count="5">
    <x:cellStyle name="Link" xfId="2"/>
    <x:cellStyle name="Normal" xfId="1"/>
    <x:cellStyle name="Normal 2" xfId="3"/>
    <x:cellStyle name="Standard" xfId="0"/>
    <x:cellStyle name="Standard 2" xfId="4"/>
  </x:cellStyles>
  <x:dxfs count="32">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numFmt numFmtId="165" formatCode="#,##0.00\ &quot;EUR&quot;"/>
      <x:fill>
        <x:patternFill>
          <x:bgColor indexed="64"/>
        </x:patternFill>
      </x:fill>
    </x:dxf>
    <x:dxf>
      <x:font>
        <x:u val="none"/>
        <x:sz val="10"/>
        <x:color rgb="FF233342"/>
        <x:name val="Aptos"/>
        <x:scheme val="none"/>
      </x:font>
      <x:numFmt numFmtId="165" formatCode="#,##0.00\ &quot;EUR&quot;"/>
      <x:fill>
        <x:patternFill>
          <x:bgColor indexed="64"/>
        </x:patternFill>
      </x:fill>
    </x:dxf>
    <x:dxf>
      <x:font>
        <x:u val="none"/>
        <x:sz val="10"/>
        <x:color rgb="FF233342"/>
        <x:name val="Aptos"/>
        <x:scheme val="none"/>
      </x:font>
      <x:numFmt numFmtId="2" formatCode="0.00"/>
      <x:fill>
        <x:patternFill>
          <x:bgColor indexed="64"/>
        </x:patternFill>
      </x:fill>
    </x:dxf>
    <x:dxf>
      <x:font>
        <x:u val="none"/>
        <x:sz val="10"/>
        <x:color rgb="FF233342"/>
        <x:name val="Aptos"/>
        <x:scheme val="none"/>
      </x:font>
      <x:numFmt numFmtId="2" formatCode="0.00"/>
      <x:fill>
        <x:patternFill>
          <x:bgColor indexed="64"/>
        </x:patternFill>
      </x:fill>
    </x:dxf>
    <x:dxf>
      <x:font>
        <x:u val="none"/>
        <x:sz val="10"/>
        <x:color rgb="FF233342"/>
        <x:name val="Aptos"/>
        <x:scheme val="none"/>
      </x:font>
      <x:numFmt numFmtId="2" formatCode="0.00"/>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numFmt numFmtId="165" formatCode="#,##0.00\ &quot;EUR&quot;"/>
      <x:fill>
        <x:patternFill>
          <x:bgColor indexed="64"/>
        </x:patternFill>
      </x:fill>
    </x:dxf>
    <x:dxf>
      <x:font>
        <x:u val="none"/>
        <x:sz val="10"/>
        <x:color rgb="FF233342"/>
        <x:name val="Aptos"/>
        <x:scheme val="none"/>
      </x:font>
      <x:numFmt numFmtId="165" formatCode="#,##0.00\ &quot;EUR&quot;"/>
      <x:fill>
        <x:patternFill>
          <x:bgColor indexed="64"/>
        </x:patternFill>
      </x:fill>
    </x:dxf>
    <x:dxf>
      <x:font>
        <x:u val="none"/>
        <x:sz val="10"/>
        <x:color rgb="FF233342"/>
        <x:name val="Aptos"/>
        <x:scheme val="none"/>
      </x:font>
      <x:numFmt numFmtId="2" formatCode="0.00"/>
      <x:fill>
        <x:patternFill>
          <x:bgColor indexed="64"/>
        </x:patternFill>
      </x:fill>
    </x:dxf>
    <x:dxf>
      <x:font>
        <x:u val="none"/>
        <x:sz val="10"/>
        <x:color rgb="FF233342"/>
        <x:name val="Aptos"/>
        <x:scheme val="none"/>
      </x:font>
      <x:numFmt numFmtId="2" formatCode="0.00"/>
      <x:fill>
        <x:patternFill>
          <x:bgColor indexed="64"/>
        </x:patternFill>
      </x:fill>
    </x:dxf>
    <x:dxf>
      <x:font>
        <x:u val="none"/>
        <x:sz val="10"/>
        <x:color rgb="FF233342"/>
        <x:name val="Aptos"/>
        <x:scheme val="none"/>
      </x:font>
      <x:numFmt numFmtId="2" formatCode="0.00"/>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
      <x:font>
        <x:u val="none"/>
        <x:sz val="10"/>
        <x:color rgb="FF233342"/>
        <x:name val="Aptos"/>
        <x:scheme val="none"/>
      </x:font>
      <x:fill>
        <x:patternFill>
          <x:bgColor indexed="6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61e0de1bd1d494d" /><Relationship Type="http://schemas.openxmlformats.org/officeDocument/2006/relationships/theme" Target="/xl/theme/theme1.xml" Id="R7bc319ceaa4a429a" /><Relationship Type="http://schemas.openxmlformats.org/officeDocument/2006/relationships/sharedStrings" Target="/xl/sharedStrings.xml" Id="R56e0881ea5f54ab1" /><Relationship Type="http://schemas.openxmlformats.org/officeDocument/2006/relationships/worksheet" Target="/xl/worksheets/sheet1.xml" Id="Rc850eb86a32a48fb" /><Relationship Type="http://schemas.openxmlformats.org/officeDocument/2006/relationships/worksheet" Target="/xl/worksheets/sheet2.xml" Id="Re4cbc7be7c074952" /><Relationship Type="http://schemas.openxmlformats.org/officeDocument/2006/relationships/worksheet" Target="/xl/worksheets/sheet3.xml" Id="Rd5440922e5b34bdf" /><Relationship Type="http://schemas.openxmlformats.org/officeDocument/2006/relationships/worksheet" Target="/xl/worksheets/sheet4.xml" Id="R61759dbb3e244030" /><Relationship Type="http://schemas.openxmlformats.org/officeDocument/2006/relationships/worksheet" Target="/xl/worksheets/sheet5.xml" Id="R6f2c98459b6043f0" /><Relationship Type="http://schemas.openxmlformats.org/officeDocument/2006/relationships/worksheet" Target="/xl/worksheets/sheet6.xml" Id="Ref102f2ac0244313" /></Relationships>
</file>

<file path=xl/drawings/_rels/drawing1.xml.rels>&#65279;<?xml version="1.0" encoding="utf-8"?><Relationships xmlns="http://schemas.openxmlformats.org/package/2006/relationships"><Relationship Type="http://schemas.openxmlformats.org/officeDocument/2006/relationships/image" Target="/xl/media/image.png" Id="Rd156f81a83e244f3" /><Relationship Type="http://schemas.openxmlformats.org/officeDocument/2006/relationships/image" Target="/xl/media/image2.png" Id="R08aa657c171e4819" /></Relationships>
</file>

<file path=xl/drawings/drawing1.xml><?xml version="1.0" encoding="utf-8"?>
<xdr:wsDr xmlns:xdr="http://schemas.openxmlformats.org/drawingml/2006/spreadsheetDrawing">
  <xdr:twoCellAnchor editAs="oneCell">
    <xdr:from>
      <xdr:col>9</xdr:col>
      <xdr:colOff>194642</xdr:colOff>
      <xdr:row>6</xdr:row>
      <xdr:rowOff>1011608</xdr:rowOff>
    </xdr:from>
    <xdr:to>
      <xdr:col>21</xdr:col>
      <xdr:colOff>88001</xdr:colOff>
      <xdr:row>19</xdr:row>
      <xdr:rowOff>110393</xdr:rowOff>
    </xdr:to>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d156f81a83e244f3"/>
        <a:stretch xmlns:a="http://schemas.openxmlformats.org/drawingml/2006/main">
          <a:fillRect/>
        </a:stretch>
      </xdr:blipFill>
      <xdr:spPr>
        <a:prstGeom xmlns:a="http://schemas.openxmlformats.org/drawingml/2006/main" prst="rect"/>
      </xdr:spPr>
    </xdr:pic>
    <xdr:clientData/>
  </xdr:twoCellAnchor>
  <xdr:twoCellAnchor editAs="oneCell">
    <xdr:from>
      <xdr:col>9</xdr:col>
      <xdr:colOff>526012</xdr:colOff>
      <xdr:row>0</xdr:row>
      <xdr:rowOff>137433</xdr:rowOff>
    </xdr:from>
    <xdr:to>
      <xdr:col>20</xdr:col>
      <xdr:colOff>527893</xdr:colOff>
      <xdr:row>6</xdr:row>
      <xdr:rowOff>1189718</xdr:rowOff>
    </xdr:to>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08aa657c171e4819"/>
        <a:stretch xmlns:a="http://schemas.openxmlformats.org/drawingml/2006/main">
          <a:fillRect/>
        </a:stretch>
      </xdr:blipFill>
      <xdr:spPr>
        <a:prstGeom xmlns:a="http://schemas.openxmlformats.org/drawingml/2006/main" prst="rect"/>
      </xdr:spPr>
    </xdr:pic>
    <xdr:clientData/>
  </xdr:twoCellAnchor>
</xdr:wsDr>
</file>

<file path=xl/tables/table1.xml><?xml version="1.0" encoding="utf-8"?>
<x:table xmlns:x="http://schemas.openxmlformats.org/spreadsheetml/2006/main" id="10" name="tblQZBWZertSpez" displayName="tblQZBWZertSpez" ref="A1:O30" totalsRowShown="0" dataDxfId="31">
  <x:tableColumns count="15">
    <x:tableColumn id="1" name="ID" dataDxfId="30"/>
    <x:tableColumn id="2" name="Programm" dataDxfId="29"/>
    <x:tableColumn id="3" name="Akteur" dataDxfId="28"/>
    <x:tableColumn id="4" name="Rolle" dataDxfId="27"/>
    <x:tableColumn id="5" name="Prozesskategorie" dataDxfId="26"/>
    <x:tableColumn id="7" name="Administrative Tätigkeit (Objekt + Verb)" dataDxfId="25"/>
    <x:tableColumn id="6" name="Fachliche Anforderung / erforderlicher Nachweis" dataDxfId="24"/>
    <x:tableColumn id="8" name="Häufigkeit" dataDxfId="23"/>
    <x:tableColumn id="9" name="Fallzahl / Bezugsgröße" dataDxfId="22"/>
    <x:tableColumn id="10" name="Zeitaufwand je Vorgang (Min.)" dataDxfId="21"/>
    <x:tableColumn id="11" name="Gesamter Zeitaufwand (Std.)" dataDxfId="20"/>
    <x:tableColumn id="12" name="Stundensatz (EUR/Std.)" dataDxfId="19"/>
    <x:tableColumn id="13" name="Arbeitszeitkosten (EUR)" dataDxfId="18"/>
    <x:tableColumn id="14" name="Quelldokument" dataDxfId="17"/>
    <x:tableColumn id="16" name="Genaue Fundstelle" dataDxfId="16"/>
  </x:tableColumns>
  <x:tableStyleInfo name="TableStyleMedium2" showFirstColumn="0" showLastColumn="0" showRowStripes="1" showColumnStripes="0"/>
</x:table>
</file>

<file path=xl/tables/table2.xml><?xml version="1.0" encoding="utf-8"?>
<x:table xmlns:x="http://schemas.openxmlformats.org/spreadsheetml/2006/main" id="11" name="tblBioZBWZertSpez" displayName="tblBioZBWZertSpez" ref="A1:P28" totalsRowShown="0">
  <x:tableColumns count="16">
    <x:tableColumn id="1" name="ID" dataDxfId="15"/>
    <x:tableColumn id="2" name="Programm" dataDxfId="14"/>
    <x:tableColumn id="3" name="Akteur" dataDxfId="13"/>
    <x:tableColumn id="4" name="Rolle" dataDxfId="12"/>
    <x:tableColumn id="5" name="Prozesskategorie" dataDxfId="11"/>
    <x:tableColumn id="6" name="Fachliche Anforderung / erforderlicher Nachweis" dataDxfId="10"/>
    <x:tableColumn id="7" name="Administrative Tätigkeit (Objekt + Verb)" dataDxfId="9"/>
    <x:tableColumn id="8" name="Häufigkeit" dataDxfId="8"/>
    <x:tableColumn id="9" name="Fallzahl / Bezugsgröße" dataDxfId="7"/>
    <x:tableColumn id="10" name="Zeitaufwand je Vorgang (Min.)" dataDxfId="6"/>
    <x:tableColumn id="11" name="Gesamter Zeitaufwand (Std.)" dataDxfId="5"/>
    <x:tableColumn id="12" name="Stundensatz (EUR/Std.)" dataDxfId="4"/>
    <x:tableColumn id="13" name="Arbeitszeitkosten (EUR)" dataDxfId="3"/>
    <x:tableColumn id="14" name="Quelldokument" dataDxfId="2"/>
    <x:tableColumn id="15" name="Wörtliches Zitat" dataDxfId="1"/>
    <x:tableColumn id="16" name="Genaue Fundstelle" dataDxfId="0"/>
  </x:tableColumns>
  <x:tableStyleInfo name="TableStyleMedium2" showFirstColumn="0" showLastColumn="0" showRowStripes="1" showColumnStripes="0"/>
</x:table>
</file>

<file path=xl/tables/table3.xml><?xml version="1.0" encoding="utf-8"?>
<x:table xmlns:x="http://schemas.openxmlformats.org/spreadsheetml/2006/main" id="3" name="tblKostenAkteure" displayName="tblKostenAkteure" ref="A15:F20" totalsRowShown="0">
  <x:tableColumns count="6">
    <x:tableColumn id="1" name="Akteursgruppe"/>
    <x:tableColumn id="2" name="QZBW Kosten (EUR)"/>
    <x:tableColumn id="3" name="BioZBW Kosten (EUR)"/>
    <x:tableColumn id="4" name="Differenz (EUR)"/>
    <x:tableColumn id="5" name="QZBW Zeit (Std.)"/>
    <x:tableColumn id="6" name="BioZBW Zeit (Std.)"/>
  </x:tableColumns>
  <x:tableStyleInfo name="TableStyleMedium2" showFirstColumn="0" showLastColumn="0" showRowStripes="1" showColumnStripes="0"/>
</x:table>
</file>

<file path=xl/tables/table4.xml><?xml version="1.0" encoding="utf-8"?>
<x:table xmlns:x="http://schemas.openxmlformats.org/spreadsheetml/2006/main" id="4" name="tblKostenProzesse" displayName="tblKostenProzesse" ref="A23:D34" totalsRowShown="0">
  <x:tableColumns count="4">
    <x:tableColumn id="1" name="Prozesskategorie"/>
    <x:tableColumn id="2" name="QZBW Kosten (EUR)"/>
    <x:tableColumn id="3" name="BioZBW Kosten (EUR)"/>
    <x:tableColumn id="4" name="Differenz (EUR)"/>
  </x:tableColumns>
  <x:tableStyleInfo name="TableStyleMedium2" showFirstColumn="0" showLastColumn="0" showRowStripes="1" showColumnStripes="0"/>
</x:table>
</file>

<file path=xl/tables/table5.xml><?xml version="1.0" encoding="utf-8"?>
<x:table xmlns:x="http://schemas.openxmlformats.org/spreadsheetml/2006/main" id="9" name="tblKostenParameter" displayName="tblKostenParameter" ref="A37:E40" totalsRowShown="0">
  <x:tableColumns count="5">
    <x:tableColumn id="1" name="Personaltyp"/>
    <x:tableColumn id="2" name="Stundensatz (EUR/Std.)"/>
    <x:tableColumn id="3" name="QZBW Summe Fallzahlen"/>
    <x:tableColumn id="4" name="BioZBW Summe Fallzahlen"/>
    <x:tableColumn id="5" name="Datenstatus"/>
  </x:tableColumns>
  <x:tableStyleInfo name="TableStyleMedium2" showFirstColumn="0" showLastColumn="0" showRowStripes="1" showColumnStripes="0"/>
</x:table>
</file>

<file path=xl/tables/table6.xml><?xml version="1.0" encoding="utf-8"?>
<x:table xmlns:x="http://schemas.openxmlformats.org/spreadsheetml/2006/main" id="5" name="tblQuellenregister" displayName="tblQuellenregister" ref="A3:I14" totalsRowShown="0">
  <x:tableColumns count="9">
    <x:tableColumn id="1" name="Quellen-ID"/>
    <x:tableColumn id="2" name="Programm"/>
    <x:tableColumn id="3" name="Dokumenttitel"/>
    <x:tableColumn id="4" name="Version / Stand"/>
    <x:tableColumn id="5" name="Dateiname"/>
    <x:tableColumn id="6" name="Lokaler Speicherort"/>
    <x:tableColumn id="7" name="Behandelte Akteursrollen"/>
    <x:tableColumn id="8" name="Verwendung in der Kostenrechnung"/>
    <x:tableColumn id="9" name="Bemerkungen"/>
  </x:tableColumns>
  <x:tableStyleInfo name="TableStyleMedium2" showFirstColumn="0" showLastColumn="0" showRowStripes="1" showColumnStripes="0"/>
</x:table>
</file>

<file path=xl/tables/table7.xml><?xml version="1.0" encoding="utf-8"?>
<x:table xmlns:x="http://schemas.openxmlformats.org/spreadsheetml/2006/main" id="6" name="tblAnnahmen" displayName="tblAnnahmen" ref="A6:J29" totalsRowShown="0">
  <x:tableColumns count="10">
    <x:tableColumn id="1" name="Annahmen-ID"/>
    <x:tableColumn id="2" name="Parameter"/>
    <x:tableColumn id="3" name="Wert"/>
    <x:tableColumn id="4" name="Einheit"/>
    <x:tableColumn id="5" name="Betroffenes Programm"/>
    <x:tableColumn id="6" name="Betroffener Akteur"/>
    <x:tableColumn id="7" name="Begründung"/>
    <x:tableColumn id="8" name="Quelle / Herleitung"/>
    <x:tableColumn id="9" name="Unsicherheit"/>
    <x:tableColumn id="10" name="Status"/>
  </x:tableColumns>
  <x:tableStyleInfo name="TableStyleMedium2" showFirstColumn="0" showLastColumn="0" showRowStripes="1" showColumnStripes="0"/>
</x:table>
</file>

<file path=xl/tables/table8.xml><?xml version="1.0" encoding="utf-8"?>
<x:table xmlns:x="http://schemas.openxmlformats.org/spreadsheetml/2006/main" id="7" name="tblAusschlussregister" displayName="tblAusschlussregister" ref="A33:I60" totalsRowShown="0">
  <x:tableColumns count="9">
    <x:tableColumn id="1" name="Ausschluss-ID"/>
    <x:tableColumn id="2" name="Programm"/>
    <x:tableColumn id="3" name="Ursprungszeile"/>
    <x:tableColumn id="4" name="Ursprüngliche Position"/>
    <x:tableColumn id="5" name="Ursprünglicher Betrag"/>
    <x:tableColumn id="6" name="Ursprüngliche Quelle / Regelgrundlage"/>
    <x:tableColumn id="7" name="Plausible ursprüngliche Aufnahmelogik"/>
    <x:tableColumn id="8" name="Aktueller Prüfungsbefund / Ausschlussgrund"/>
    <x:tableColumn id="9" name="Aktuelle Behandlu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3f656bb835f471c" /></Relationships>
</file>

<file path=xl/worksheets/_rels/sheet2.xml.rels>&#65279;<?xml version="1.0" encoding="utf-8"?><Relationships xmlns="http://schemas.openxmlformats.org/package/2006/relationships"><Relationship Type="http://schemas.openxmlformats.org/officeDocument/2006/relationships/table" Target="/xl/tables/table2.xml" Id="R406a3c9e476746e0" /></Relationships>
</file>

<file path=xl/worksheets/_rels/sheet3.xml.rels>&#65279;<?xml version="1.0" encoding="utf-8"?><Relationships xmlns="http://schemas.openxmlformats.org/package/2006/relationships"><Relationship Type="http://schemas.openxmlformats.org/officeDocument/2006/relationships/table" Target="/xl/tables/table3.xml" Id="Rcf212a6f427c4532" /><Relationship Type="http://schemas.openxmlformats.org/officeDocument/2006/relationships/table" Target="/xl/tables/table4.xml" Id="Ra5c36585a7a74776" /><Relationship Type="http://schemas.openxmlformats.org/officeDocument/2006/relationships/table" Target="/xl/tables/table5.xml" Id="R29e6d231b207413e" /></Relationships>
</file>

<file path=xl/worksheets/_rels/sheet4.xml.rels>&#65279;<?xml version="1.0" encoding="utf-8"?><Relationships xmlns="http://schemas.openxmlformats.org/package/2006/relationships"><Relationship Type="http://schemas.openxmlformats.org/officeDocument/2006/relationships/hyperlink" Target="https://mbw.imageplant.de/" TargetMode="External" Id="R6c9932f35b234c21" /><Relationship Type="http://schemas.openxmlformats.org/officeDocument/2006/relationships/table" Target="/xl/tables/table6.xml" Id="R7ad10868e4a74d28" /></Relationships>
</file>

<file path=xl/worksheets/_rels/sheet5.xml.rels>&#65279;<?xml version="1.0" encoding="utf-8"?><Relationships xmlns="http://schemas.openxmlformats.org/package/2006/relationships"><Relationship Type="http://schemas.openxmlformats.org/officeDocument/2006/relationships/table" Target="/xl/tables/table7.xml" Id="R4c4cf71a94824235" /><Relationship Type="http://schemas.openxmlformats.org/officeDocument/2006/relationships/table" Target="/xl/tables/table8.xml" Id="Rb0f8303e8bdf4313" /></Relationships>
</file>

<file path=xl/worksheets/_rels/sheet6.xml.rels>&#65279;<?xml version="1.0" encoding="utf-8"?><Relationships xmlns="http://schemas.openxmlformats.org/package/2006/relationships"><Relationship Type="http://schemas.openxmlformats.org/officeDocument/2006/relationships/drawing" Target="/xl/drawings/drawing1.xml" Id="Rb24d35f8d8e7420c" /></Relationships>
</file>

<file path=xl/worksheets/sheet1.xml><?xml version="1.0" encoding="utf-8"?>
<x:worksheet xmlns:x="http://schemas.openxmlformats.org/spreadsheetml/2006/main">
  <x:sheetFormatPr baseColWidth="10" defaultColWidth="9.140625" defaultRowHeight="14.149999618530273"/>
  <x:cols>
    <x:col min="1" max="1" width="7.85546875" customWidth="1"/>
    <x:col min="2" max="2" width="11.5" customWidth="1"/>
    <x:col min="3" max="3" width="23" customWidth="1"/>
    <x:col min="4" max="4" width="27.85546875" customWidth="1"/>
    <x:col min="5" max="5" width="24" customWidth="1"/>
    <x:col min="6" max="6" width="24.35546875" customWidth="1"/>
    <x:col min="7" max="7" width="27.78515625" customWidth="1"/>
    <x:col min="8" max="8" width="11.85546875" customWidth="1"/>
    <x:col min="9" max="9" width="9.5703125" customWidth="1"/>
    <x:col min="10" max="10" width="8.5" customWidth="1"/>
    <x:col min="11" max="11" width="9.85546875" customWidth="1"/>
    <x:col min="12" max="12" width="11.5" customWidth="1"/>
    <x:col min="13" max="13" width="7.7109375" customWidth="1"/>
    <x:col min="14" max="14" width="31" customWidth="1"/>
    <x:col min="15" max="15" width="21.7109375" customWidth="1"/>
    <x:col min="16" max="16" width="48" customWidth="1"/>
  </x:cols>
  <x:sheetData>
    <x:row r="1" s="28" customFormat="1" ht="51.45000076293945">
      <x:c r="A1" s="67" t="s">
        <x:v>0</x:v>
      </x:c>
      <x:c r="B1" s="67" t="s">
        <x:v>1</x:v>
      </x:c>
      <x:c r="C1" s="67" t="s">
        <x:v>2</x:v>
      </x:c>
      <x:c r="D1" s="67" t="s">
        <x:v>3</x:v>
      </x:c>
      <x:c r="E1" s="67" t="s">
        <x:v>4</x:v>
      </x:c>
      <x:c r="F1" s="67" t="s">
        <x:v>5</x:v>
      </x:c>
      <x:c r="G1" s="67" t="s">
        <x:v>6</x:v>
      </x:c>
      <x:c r="H1" s="67" t="s">
        <x:v>7</x:v>
      </x:c>
      <x:c r="I1" s="67" t="s">
        <x:v>8</x:v>
      </x:c>
      <x:c r="J1" s="67" t="s">
        <x:v>9</x:v>
      </x:c>
      <x:c r="K1" s="67" t="s">
        <x:v>10</x:v>
      </x:c>
      <x:c r="L1" s="67" t="s">
        <x:v>11</x:v>
      </x:c>
      <x:c r="M1" s="67" t="s">
        <x:v>12</x:v>
      </x:c>
      <x:c r="N1" s="67" t="s">
        <x:v>13</x:v>
      </x:c>
      <x:c r="O1" s="67" t="s">
        <x:v>14</x:v>
      </x:c>
      <x:c r="P1" s="67" t="s">
        <x:v>15</x:v>
      </x:c>
    </x:row>
    <x:row r="2" ht="64.30000305175781">
      <x:c r="A2" s="68" t="s">
        <x:v>16</x:v>
      </x:c>
      <x:c r="B2" s="68" t="s">
        <x:v>17</x:v>
      </x:c>
      <x:c r="C2" s="69" t="s">
        <x:v>18</x:v>
      </x:c>
      <x:c r="D2" s="69" t="s">
        <x:v>19</x:v>
      </x:c>
      <x:c r="E2" s="69" t="s">
        <x:v>20</x:v>
      </x:c>
      <x:c r="F2" s="69" t="s">
        <x:v>21</x:v>
      </x:c>
      <x:c r="G2" s="69" t="s">
        <x:v>22</x:v>
      </x:c>
      <x:c r="H2" s="70" t="s">
        <x:v>23</x:v>
      </x:c>
      <x:c r="I2" s="71">
        <x:v>1</x:v>
      </x:c>
      <x:c r="J2" s="71">
        <x:v>15</x:v>
      </x:c>
      <x:c r="K2" s="72">
        <x:v>0.25</x:v>
      </x:c>
      <x:c r="L2" s="73">
        <x:v>50</x:v>
      </x:c>
      <x:c r="M2" s="74">
        <x:v>12.5</x:v>
      </x:c>
      <x:c r="N2" s="33" t="s">
        <x:v>24</x:v>
      </x:c>
      <x:c r="O2" s="33" t="s">
        <x:v>25</x:v>
      </x:c>
      <x:c r="P2" s="33" t="s">
        <x:v>26</x:v>
      </x:c>
    </x:row>
    <x:row r="3" ht="51.45000076293945">
      <x:c r="A3" s="75" t="s">
        <x:v>27</x:v>
      </x:c>
      <x:c r="B3" s="75" t="s">
        <x:v>17</x:v>
      </x:c>
      <x:c r="C3" s="76" t="s">
        <x:v>18</x:v>
      </x:c>
      <x:c r="D3" s="76" t="s">
        <x:v>19</x:v>
      </x:c>
      <x:c r="E3" s="76" t="s">
        <x:v>28</x:v>
      </x:c>
      <x:c r="F3" s="76" t="s">
        <x:v>29</x:v>
      </x:c>
      <x:c r="G3" s="76" t="s">
        <x:v>30</x:v>
      </x:c>
      <x:c r="H3" s="70" t="s">
        <x:v>23</x:v>
      </x:c>
      <x:c r="I3" s="71">
        <x:v>1</x:v>
      </x:c>
      <x:c r="J3" s="71">
        <x:v>30</x:v>
      </x:c>
      <x:c r="K3" s="72">
        <x:v>0.5</x:v>
      </x:c>
      <x:c r="L3" s="73">
        <x:v>50</x:v>
      </x:c>
      <x:c r="M3" s="74">
        <x:v>25</x:v>
      </x:c>
      <x:c r="N3" s="33" t="s">
        <x:v>31</x:v>
      </x:c>
      <x:c r="O3" s="33" t="s">
        <x:v>32</x:v>
      </x:c>
      <x:c r="P3" s="33" t="s">
        <x:v>33</x:v>
      </x:c>
    </x:row>
    <x:row r="4" ht="64.30000305175781">
      <x:c r="A4" s="68" t="s">
        <x:v>34</x:v>
      </x:c>
      <x:c r="B4" s="68" t="s">
        <x:v>17</x:v>
      </x:c>
      <x:c r="C4" s="69" t="s">
        <x:v>18</x:v>
      </x:c>
      <x:c r="D4" s="69" t="s">
        <x:v>19</x:v>
      </x:c>
      <x:c r="E4" s="69" t="s">
        <x:v>28</x:v>
      </x:c>
      <x:c r="F4" s="69" t="s">
        <x:v>35</x:v>
      </x:c>
      <x:c r="G4" s="69" t="s">
        <x:v>36</x:v>
      </x:c>
      <x:c r="H4" s="70" t="s">
        <x:v>23</x:v>
      </x:c>
      <x:c r="I4" s="71">
        <x:v>1</x:v>
      </x:c>
      <x:c r="J4" s="71">
        <x:v>60</x:v>
      </x:c>
      <x:c r="K4" s="72">
        <x:v>1</x:v>
      </x:c>
      <x:c r="L4" s="73">
        <x:v>50</x:v>
      </x:c>
      <x:c r="M4" s="74">
        <x:v>50</x:v>
      </x:c>
      <x:c r="N4" s="33" t="s">
        <x:v>37</x:v>
      </x:c>
      <x:c r="O4" s="33" t="s">
        <x:v>38</x:v>
      </x:c>
      <x:c r="P4" s="33" t="s">
        <x:v>39</x:v>
      </x:c>
    </x:row>
    <x:row r="5" ht="38.599998474121094">
      <x:c r="A5" s="75" t="s">
        <x:v>40</x:v>
      </x:c>
      <x:c r="B5" s="75" t="s">
        <x:v>17</x:v>
      </x:c>
      <x:c r="C5" s="76" t="s">
        <x:v>18</x:v>
      </x:c>
      <x:c r="D5" s="76" t="s">
        <x:v>19</x:v>
      </x:c>
      <x:c r="E5" s="76" t="s">
        <x:v>28</x:v>
      </x:c>
      <x:c r="F5" s="76" t="s">
        <x:v>41</x:v>
      </x:c>
      <x:c r="G5" s="76" t="s">
        <x:v>42</x:v>
      </x:c>
      <x:c r="H5" s="70" t="s">
        <x:v>23</x:v>
      </x:c>
      <x:c r="I5" s="71">
        <x:v>1</x:v>
      </x:c>
      <x:c r="J5" s="71">
        <x:v>15</x:v>
      </x:c>
      <x:c r="K5" s="72">
        <x:v>0.25</x:v>
      </x:c>
      <x:c r="L5" s="73">
        <x:v>50</x:v>
      </x:c>
      <x:c r="M5" s="74">
        <x:v>12.5</x:v>
      </x:c>
      <x:c r="N5" s="33" t="s">
        <x:v>43</x:v>
      </x:c>
      <x:c r="O5" s="33" t="s">
        <x:v>44</x:v>
      </x:c>
      <x:c r="P5" s="33" t="s">
        <x:v>45</x:v>
      </x:c>
    </x:row>
    <x:row r="6" ht="38.599998474121094">
      <x:c r="A6" s="68" t="s">
        <x:v>46</x:v>
      </x:c>
      <x:c r="B6" s="68" t="s">
        <x:v>17</x:v>
      </x:c>
      <x:c r="C6" s="69" t="s">
        <x:v>47</x:v>
      </x:c>
      <x:c r="D6" s="69" t="s">
        <x:v>48</x:v>
      </x:c>
      <x:c r="E6" s="69" t="s">
        <x:v>20</x:v>
      </x:c>
      <x:c r="F6" s="69" t="s">
        <x:v>49</x:v>
      </x:c>
      <x:c r="G6" s="69" t="s">
        <x:v>50</x:v>
      </x:c>
      <x:c r="H6" s="70" t="s">
        <x:v>23</x:v>
      </x:c>
      <x:c r="I6" s="71">
        <x:v>1</x:v>
      </x:c>
      <x:c r="J6" s="71">
        <x:v>15</x:v>
      </x:c>
      <x:c r="K6" s="72">
        <x:v>0.25</x:v>
      </x:c>
      <x:c r="L6" s="73">
        <x:v>50</x:v>
      </x:c>
      <x:c r="M6" s="74">
        <x:v>12.5</x:v>
      </x:c>
      <x:c r="N6" s="33" t="s">
        <x:v>51</x:v>
      </x:c>
      <x:c r="O6" s="33" t="s">
        <x:v>52</x:v>
      </x:c>
      <x:c r="P6" s="33" t="s">
        <x:v>53</x:v>
      </x:c>
    </x:row>
    <x:row r="7" ht="38.599998474121094">
      <x:c r="A7" s="75" t="s">
        <x:v>54</x:v>
      </x:c>
      <x:c r="B7" s="75" t="s">
        <x:v>17</x:v>
      </x:c>
      <x:c r="C7" s="76" t="s">
        <x:v>47</x:v>
      </x:c>
      <x:c r="D7" s="76" t="s">
        <x:v>55</x:v>
      </x:c>
      <x:c r="E7" s="76" t="s">
        <x:v>20</x:v>
      </x:c>
      <x:c r="F7" s="76" t="s">
        <x:v>56</x:v>
      </x:c>
      <x:c r="G7" s="76" t="s">
        <x:v>57</x:v>
      </x:c>
      <x:c r="H7" s="70" t="s">
        <x:v>23</x:v>
      </x:c>
      <x:c r="I7" s="71">
        <x:v>1</x:v>
      </x:c>
      <x:c r="J7" s="71">
        <x:v>30</x:v>
      </x:c>
      <x:c r="K7" s="72">
        <x:v>0.5</x:v>
      </x:c>
      <x:c r="L7" s="73">
        <x:v>50</x:v>
      </x:c>
      <x:c r="M7" s="74">
        <x:v>25</x:v>
      </x:c>
      <x:c r="N7" s="33" t="s">
        <x:v>31</x:v>
      </x:c>
      <x:c r="O7" s="33" t="s">
        <x:v>58</x:v>
      </x:c>
      <x:c r="P7" s="33" t="s">
        <x:v>59</x:v>
      </x:c>
    </x:row>
    <x:row r="8" ht="38.599998474121094">
      <x:c r="A8" s="68" t="s">
        <x:v>60</x:v>
      </x:c>
      <x:c r="B8" s="68" t="s">
        <x:v>17</x:v>
      </x:c>
      <x:c r="C8" s="69" t="s">
        <x:v>47</x:v>
      </x:c>
      <x:c r="D8" s="69" t="s">
        <x:v>55</x:v>
      </x:c>
      <x:c r="E8" s="69" t="s">
        <x:v>28</x:v>
      </x:c>
      <x:c r="F8" s="69" t="s">
        <x:v>61</x:v>
      </x:c>
      <x:c r="G8" s="69" t="s">
        <x:v>62</x:v>
      </x:c>
      <x:c r="H8" s="70" t="s">
        <x:v>23</x:v>
      </x:c>
      <x:c r="I8" s="71">
        <x:v>1</x:v>
      </x:c>
      <x:c r="J8" s="71">
        <x:v>7.5</x:v>
      </x:c>
      <x:c r="K8" s="72">
        <x:v>0.125</x:v>
      </x:c>
      <x:c r="L8" s="73">
        <x:v>50</x:v>
      </x:c>
      <x:c r="M8" s="74">
        <x:v>6.25</x:v>
      </x:c>
      <x:c r="N8" s="33" t="s">
        <x:v>63</x:v>
      </x:c>
      <x:c r="O8" s="33" t="s">
        <x:v>64</x:v>
      </x:c>
      <x:c r="P8" s="33" t="s">
        <x:v>65</x:v>
      </x:c>
    </x:row>
    <x:row r="9" ht="90">
      <x:c r="A9" s="75" t="s">
        <x:v>66</x:v>
      </x:c>
      <x:c r="B9" s="75" t="s">
        <x:v>17</x:v>
      </x:c>
      <x:c r="C9" s="76" t="s">
        <x:v>47</x:v>
      </x:c>
      <x:c r="D9" s="76" t="s">
        <x:v>48</x:v>
      </x:c>
      <x:c r="E9" s="76" t="s">
        <x:v>28</x:v>
      </x:c>
      <x:c r="F9" s="76" t="s">
        <x:v>67</x:v>
      </x:c>
      <x:c r="G9" s="76" t="s">
        <x:v>68</x:v>
      </x:c>
      <x:c r="H9" s="70" t="s">
        <x:v>23</x:v>
      </x:c>
      <x:c r="I9" s="71">
        <x:v>1</x:v>
      </x:c>
      <x:c r="J9" s="71">
        <x:v>240</x:v>
      </x:c>
      <x:c r="K9" s="72">
        <x:v>4</x:v>
      </x:c>
      <x:c r="L9" s="73">
        <x:v>30</x:v>
      </x:c>
      <x:c r="M9" s="74">
        <x:v>120</x:v>
      </x:c>
      <x:c r="N9" s="33" t="s">
        <x:v>51</x:v>
      </x:c>
      <x:c r="O9" s="33" t="s">
        <x:v>69</x:v>
      </x:c>
      <x:c r="P9" s="33" t="s">
        <x:v>70</x:v>
      </x:c>
    </x:row>
    <x:row r="10" ht="38.599998474121094">
      <x:c r="A10" s="68" t="s">
        <x:v>71</x:v>
      </x:c>
      <x:c r="B10" s="68" t="s">
        <x:v>17</x:v>
      </x:c>
      <x:c r="C10" s="69" t="s">
        <x:v>47</x:v>
      </x:c>
      <x:c r="D10" s="69" t="s">
        <x:v>55</x:v>
      </x:c>
      <x:c r="E10" s="69" t="s">
        <x:v>72</x:v>
      </x:c>
      <x:c r="F10" s="69" t="s">
        <x:v>73</x:v>
      </x:c>
      <x:c r="G10" s="69" t="s">
        <x:v>74</x:v>
      </x:c>
      <x:c r="H10" s="70" t="s">
        <x:v>23</x:v>
      </x:c>
      <x:c r="I10" s="71">
        <x:v>1</x:v>
      </x:c>
      <x:c r="J10" s="71">
        <x:v>60</x:v>
      </x:c>
      <x:c r="K10" s="72">
        <x:v>1</x:v>
      </x:c>
      <x:c r="L10" s="73">
        <x:v>30</x:v>
      </x:c>
      <x:c r="M10" s="74">
        <x:v>30</x:v>
      </x:c>
      <x:c r="N10" s="33" t="s">
        <x:v>75</x:v>
      </x:c>
      <x:c r="O10" s="33" t="s">
        <x:v>76</x:v>
      </x:c>
      <x:c r="P10" s="33" t="s">
        <x:v>77</x:v>
      </x:c>
    </x:row>
    <x:row r="11" ht="38.599998474121094">
      <x:c r="A11" s="75" t="s">
        <x:v>78</x:v>
      </x:c>
      <x:c r="B11" s="75" t="s">
        <x:v>17</x:v>
      </x:c>
      <x:c r="C11" s="76" t="s">
        <x:v>47</x:v>
      </x:c>
      <x:c r="D11" s="76" t="s">
        <x:v>48</x:v>
      </x:c>
      <x:c r="E11" s="76" t="s">
        <x:v>79</x:v>
      </x:c>
      <x:c r="F11" s="76" t="s">
        <x:v>80</x:v>
      </x:c>
      <x:c r="G11" s="76" t="s">
        <x:v>81</x:v>
      </x:c>
      <x:c r="H11" s="70" t="s">
        <x:v>23</x:v>
      </x:c>
      <x:c r="I11" s="71">
        <x:v>1</x:v>
      </x:c>
      <x:c r="J11" s="71">
        <x:v>120</x:v>
      </x:c>
      <x:c r="K11" s="72">
        <x:v>2</x:v>
      </x:c>
      <x:c r="L11" s="73">
        <x:v>30</x:v>
      </x:c>
      <x:c r="M11" s="74">
        <x:v>60</x:v>
      </x:c>
      <x:c r="N11" s="33" t="s">
        <x:v>51</x:v>
      </x:c>
      <x:c r="O11" s="33" t="s">
        <x:v>82</x:v>
      </x:c>
      <x:c r="P11" s="33" t="s">
        <x:v>83</x:v>
      </x:c>
    </x:row>
    <x:row r="12" ht="64.30000305175781">
      <x:c r="A12" s="68" t="s">
        <x:v>84</x:v>
      </x:c>
      <x:c r="B12" s="68" t="s">
        <x:v>17</x:v>
      </x:c>
      <x:c r="C12" s="69" t="s">
        <x:v>47</x:v>
      </x:c>
      <x:c r="D12" s="69" t="s">
        <x:v>48</x:v>
      </x:c>
      <x:c r="E12" s="69" t="s">
        <x:v>79</x:v>
      </x:c>
      <x:c r="F12" s="69" t="s">
        <x:v>85</x:v>
      </x:c>
      <x:c r="G12" s="69" t="s">
        <x:v>86</x:v>
      </x:c>
      <x:c r="H12" s="70" t="s">
        <x:v>23</x:v>
      </x:c>
      <x:c r="I12" s="71">
        <x:v>1</x:v>
      </x:c>
      <x:c r="J12" s="71">
        <x:v>30</x:v>
      </x:c>
      <x:c r="K12" s="72">
        <x:v>0.5</x:v>
      </x:c>
      <x:c r="L12" s="73">
        <x:v>30</x:v>
      </x:c>
      <x:c r="M12" s="74">
        <x:v>15</x:v>
      </x:c>
      <x:c r="N12" s="33" t="s">
        <x:v>51</x:v>
      </x:c>
      <x:c r="O12" s="33" t="s">
        <x:v>87</x:v>
      </x:c>
      <x:c r="P12" s="33" t="s">
        <x:v>88</x:v>
      </x:c>
    </x:row>
    <x:row r="13" ht="77.1500015258789">
      <x:c r="A13" s="75" t="s">
        <x:v>89</x:v>
      </x:c>
      <x:c r="B13" s="75" t="s">
        <x:v>17</x:v>
      </x:c>
      <x:c r="C13" s="76" t="s">
        <x:v>47</x:v>
      </x:c>
      <x:c r="D13" s="76" t="s">
        <x:v>48</x:v>
      </x:c>
      <x:c r="E13" s="76" t="s">
        <x:v>79</x:v>
      </x:c>
      <x:c r="F13" s="76" t="s">
        <x:v>90</x:v>
      </x:c>
      <x:c r="G13" s="76" t="s">
        <x:v>91</x:v>
      </x:c>
      <x:c r="H13" s="70" t="s">
        <x:v>23</x:v>
      </x:c>
      <x:c r="I13" s="71">
        <x:v>1</x:v>
      </x:c>
      <x:c r="J13" s="71">
        <x:v>60</x:v>
      </x:c>
      <x:c r="K13" s="72">
        <x:v>1</x:v>
      </x:c>
      <x:c r="L13" s="73">
        <x:v>30</x:v>
      </x:c>
      <x:c r="M13" s="74">
        <x:v>30</x:v>
      </x:c>
      <x:c r="N13" s="33" t="s">
        <x:v>51</x:v>
      </x:c>
      <x:c r="O13" s="33" t="s">
        <x:v>92</x:v>
      </x:c>
      <x:c r="P13" s="33" t="s">
        <x:v>93</x:v>
      </x:c>
    </x:row>
    <x:row r="14" ht="64.30000305175781">
      <x:c r="A14" s="68" t="s">
        <x:v>94</x:v>
      </x:c>
      <x:c r="B14" s="68" t="s">
        <x:v>17</x:v>
      </x:c>
      <x:c r="C14" s="69" t="s">
        <x:v>47</x:v>
      </x:c>
      <x:c r="D14" s="69" t="s">
        <x:v>48</x:v>
      </x:c>
      <x:c r="E14" s="69" t="s">
        <x:v>79</x:v>
      </x:c>
      <x:c r="F14" s="69" t="s">
        <x:v>95</x:v>
      </x:c>
      <x:c r="G14" s="69" t="s">
        <x:v>96</x:v>
      </x:c>
      <x:c r="H14" s="70" t="s">
        <x:v>23</x:v>
      </x:c>
      <x:c r="I14" s="71">
        <x:v>1</x:v>
      </x:c>
      <x:c r="J14" s="71">
        <x:v>60</x:v>
      </x:c>
      <x:c r="K14" s="72">
        <x:v>1</x:v>
      </x:c>
      <x:c r="L14" s="73">
        <x:v>30</x:v>
      </x:c>
      <x:c r="M14" s="74">
        <x:v>30</x:v>
      </x:c>
      <x:c r="N14" s="33" t="s">
        <x:v>51</x:v>
      </x:c>
      <x:c r="O14" s="33" t="s">
        <x:v>97</x:v>
      </x:c>
      <x:c r="P14" s="33" t="s">
        <x:v>93</x:v>
      </x:c>
    </x:row>
    <x:row r="15" ht="38.599998474121094">
      <x:c r="A15" s="75" t="s">
        <x:v>98</x:v>
      </x:c>
      <x:c r="B15" s="75" t="s">
        <x:v>17</x:v>
      </x:c>
      <x:c r="C15" s="76" t="s">
        <x:v>47</x:v>
      </x:c>
      <x:c r="D15" s="76" t="s">
        <x:v>48</x:v>
      </x:c>
      <x:c r="E15" s="76" t="s">
        <x:v>99</x:v>
      </x:c>
      <x:c r="F15" s="76" t="s">
        <x:v>100</x:v>
      </x:c>
      <x:c r="G15" s="76" t="s">
        <x:v>101</x:v>
      </x:c>
      <x:c r="H15" s="70" t="s">
        <x:v>23</x:v>
      </x:c>
      <x:c r="I15" s="71">
        <x:v>1</x:v>
      </x:c>
      <x:c r="J15" s="71">
        <x:v>30</x:v>
      </x:c>
      <x:c r="K15" s="72">
        <x:v>0.5</x:v>
      </x:c>
      <x:c r="L15" s="73">
        <x:v>30</x:v>
      </x:c>
      <x:c r="M15" s="74">
        <x:v>15</x:v>
      </x:c>
      <x:c r="N15" s="33" t="s">
        <x:v>51</x:v>
      </x:c>
      <x:c r="O15" s="33" t="s">
        <x:v>102</x:v>
      </x:c>
      <x:c r="P15" s="33" t="s">
        <x:v>103</x:v>
      </x:c>
    </x:row>
    <x:row r="16" ht="90">
      <x:c r="A16" s="68" t="s">
        <x:v>104</x:v>
      </x:c>
      <x:c r="B16" s="68" t="s">
        <x:v>17</x:v>
      </x:c>
      <x:c r="C16" s="69" t="s">
        <x:v>47</x:v>
      </x:c>
      <x:c r="D16" s="69" t="s">
        <x:v>48</x:v>
      </x:c>
      <x:c r="E16" s="69" t="s">
        <x:v>99</x:v>
      </x:c>
      <x:c r="F16" s="69" t="s">
        <x:v>105</x:v>
      </x:c>
      <x:c r="G16" s="69" t="s">
        <x:v>106</x:v>
      </x:c>
      <x:c r="H16" s="70" t="s">
        <x:v>23</x:v>
      </x:c>
      <x:c r="I16" s="71">
        <x:v>1</x:v>
      </x:c>
      <x:c r="J16" s="71">
        <x:v>30</x:v>
      </x:c>
      <x:c r="K16" s="72">
        <x:v>0.5</x:v>
      </x:c>
      <x:c r="L16" s="73">
        <x:v>30</x:v>
      </x:c>
      <x:c r="M16" s="74">
        <x:v>15</x:v>
      </x:c>
      <x:c r="N16" s="33" t="s">
        <x:v>51</x:v>
      </x:c>
      <x:c r="O16" s="33" t="s">
        <x:v>107</x:v>
      </x:c>
      <x:c r="P16" s="33" t="s">
        <x:v>108</x:v>
      </x:c>
    </x:row>
    <x:row r="17" ht="77.1500015258789">
      <x:c r="A17" s="75" t="s">
        <x:v>109</x:v>
      </x:c>
      <x:c r="B17" s="75" t="s">
        <x:v>17</x:v>
      </x:c>
      <x:c r="C17" s="76" t="s">
        <x:v>47</x:v>
      </x:c>
      <x:c r="D17" s="76" t="s">
        <x:v>48</x:v>
      </x:c>
      <x:c r="E17" s="76" t="s">
        <x:v>99</x:v>
      </x:c>
      <x:c r="F17" s="76" t="s">
        <x:v>110</x:v>
      </x:c>
      <x:c r="G17" s="76" t="s">
        <x:v>111</x:v>
      </x:c>
      <x:c r="H17" s="70" t="s">
        <x:v>23</x:v>
      </x:c>
      <x:c r="I17" s="71">
        <x:v>1</x:v>
      </x:c>
      <x:c r="J17" s="71">
        <x:v>60</x:v>
      </x:c>
      <x:c r="K17" s="72">
        <x:v>1</x:v>
      </x:c>
      <x:c r="L17" s="73">
        <x:v>30</x:v>
      </x:c>
      <x:c r="M17" s="74">
        <x:v>30</x:v>
      </x:c>
      <x:c r="N17" s="33" t="s">
        <x:v>51</x:v>
      </x:c>
      <x:c r="O17" s="33" t="s">
        <x:v>112</x:v>
      </x:c>
      <x:c r="P17" s="33" t="s">
        <x:v>113</x:v>
      </x:c>
    </x:row>
    <x:row r="18" ht="90">
      <x:c r="A18" s="68" t="s">
        <x:v>114</x:v>
      </x:c>
      <x:c r="B18" s="68" t="s">
        <x:v>17</x:v>
      </x:c>
      <x:c r="C18" s="69" t="s">
        <x:v>47</x:v>
      </x:c>
      <x:c r="D18" s="69" t="s">
        <x:v>48</x:v>
      </x:c>
      <x:c r="E18" s="69" t="s">
        <x:v>99</x:v>
      </x:c>
      <x:c r="F18" s="69" t="s">
        <x:v>115</x:v>
      </x:c>
      <x:c r="G18" s="69" t="s">
        <x:v>116</x:v>
      </x:c>
      <x:c r="H18" s="70" t="s">
        <x:v>23</x:v>
      </x:c>
      <x:c r="I18" s="71">
        <x:v>1</x:v>
      </x:c>
      <x:c r="J18" s="71">
        <x:v>30</x:v>
      </x:c>
      <x:c r="K18" s="72">
        <x:v>0.5</x:v>
      </x:c>
      <x:c r="L18" s="73">
        <x:v>30</x:v>
      </x:c>
      <x:c r="M18" s="74">
        <x:v>15</x:v>
      </x:c>
      <x:c r="N18" s="33" t="s">
        <x:v>51</x:v>
      </x:c>
      <x:c r="O18" s="33" t="s">
        <x:v>117</x:v>
      </x:c>
      <x:c r="P18" s="33" t="s">
        <x:v>118</x:v>
      </x:c>
    </x:row>
    <x:row r="19" ht="38.599998474121094">
      <x:c r="A19" s="75" t="s">
        <x:v>119</x:v>
      </x:c>
      <x:c r="B19" s="75" t="s">
        <x:v>17</x:v>
      </x:c>
      <x:c r="C19" s="76" t="s">
        <x:v>47</x:v>
      </x:c>
      <x:c r="D19" s="76" t="s">
        <x:v>48</x:v>
      </x:c>
      <x:c r="E19" s="76" t="s">
        <x:v>99</x:v>
      </x:c>
      <x:c r="F19" s="76" t="s">
        <x:v>120</x:v>
      </x:c>
      <x:c r="G19" s="76" t="s">
        <x:v>121</x:v>
      </x:c>
      <x:c r="H19" s="70" t="s">
        <x:v>23</x:v>
      </x:c>
      <x:c r="I19" s="71">
        <x:v>1</x:v>
      </x:c>
      <x:c r="J19" s="71">
        <x:v>30</x:v>
      </x:c>
      <x:c r="K19" s="72">
        <x:v>0.5</x:v>
      </x:c>
      <x:c r="L19" s="73">
        <x:v>30</x:v>
      </x:c>
      <x:c r="M19" s="74">
        <x:v>15</x:v>
      </x:c>
      <x:c r="N19" s="33" t="s">
        <x:v>51</x:v>
      </x:c>
      <x:c r="O19" s="33" t="s">
        <x:v>122</x:v>
      </x:c>
      <x:c r="P19" s="33" t="s">
        <x:v>123</x:v>
      </x:c>
    </x:row>
    <x:row r="20" ht="90">
      <x:c r="A20" s="68" t="s">
        <x:v>124</x:v>
      </x:c>
      <x:c r="B20" s="68" t="s">
        <x:v>17</x:v>
      </x:c>
      <x:c r="C20" s="69" t="s">
        <x:v>47</x:v>
      </x:c>
      <x:c r="D20" s="69" t="s">
        <x:v>48</x:v>
      </x:c>
      <x:c r="E20" s="69" t="s">
        <x:v>99</x:v>
      </x:c>
      <x:c r="F20" s="69" t="s">
        <x:v>125</x:v>
      </x:c>
      <x:c r="G20" s="69" t="s">
        <x:v>126</x:v>
      </x:c>
      <x:c r="H20" s="70" t="s">
        <x:v>23</x:v>
      </x:c>
      <x:c r="I20" s="71">
        <x:v>1</x:v>
      </x:c>
      <x:c r="J20" s="71">
        <x:v>30</x:v>
      </x:c>
      <x:c r="K20" s="72">
        <x:v>0.5</x:v>
      </x:c>
      <x:c r="L20" s="73">
        <x:v>30</x:v>
      </x:c>
      <x:c r="M20" s="74">
        <x:v>15</x:v>
      </x:c>
      <x:c r="N20" s="33" t="s">
        <x:v>31</x:v>
      </x:c>
      <x:c r="O20" s="33" t="s">
        <x:v>127</x:v>
      </x:c>
      <x:c r="P20" s="33" t="s">
        <x:v>128</x:v>
      </x:c>
    </x:row>
    <x:row r="21" ht="38.599998474121094">
      <x:c r="A21" s="75" t="s">
        <x:v>129</x:v>
      </x:c>
      <x:c r="B21" s="75" t="s">
        <x:v>17</x:v>
      </x:c>
      <x:c r="C21" s="76" t="s">
        <x:v>47</x:v>
      </x:c>
      <x:c r="D21" s="76" t="s">
        <x:v>48</x:v>
      </x:c>
      <x:c r="E21" s="76" t="s">
        <x:v>130</x:v>
      </x:c>
      <x:c r="F21" s="76" t="s">
        <x:v>131</x:v>
      </x:c>
      <x:c r="G21" s="76" t="s">
        <x:v>132</x:v>
      </x:c>
      <x:c r="H21" s="70" t="s">
        <x:v>133</x:v>
      </x:c>
      <x:c r="I21" s="71">
        <x:v>1</x:v>
      </x:c>
      <x:c r="J21" s="71">
        <x:v>30</x:v>
      </x:c>
      <x:c r="K21" s="72">
        <x:v>0.5</x:v>
      </x:c>
      <x:c r="L21" s="73">
        <x:v>30</x:v>
      </x:c>
      <x:c r="M21" s="74">
        <x:v>15</x:v>
      </x:c>
      <x:c r="N21" s="33" t="s">
        <x:v>51</x:v>
      </x:c>
      <x:c r="O21" s="33" t="s">
        <x:v>134</x:v>
      </x:c>
      <x:c r="P21" s="33" t="s">
        <x:v>88</x:v>
      </x:c>
    </x:row>
    <x:row r="22" ht="38.599998474121094">
      <x:c r="A22" s="68" t="s">
        <x:v>135</x:v>
      </x:c>
      <x:c r="B22" s="68" t="s">
        <x:v>17</x:v>
      </x:c>
      <x:c r="C22" s="69" t="s">
        <x:v>47</x:v>
      </x:c>
      <x:c r="D22" s="69" t="s">
        <x:v>48</x:v>
      </x:c>
      <x:c r="E22" s="69" t="s">
        <x:v>130</x:v>
      </x:c>
      <x:c r="F22" s="69" t="s">
        <x:v>136</x:v>
      </x:c>
      <x:c r="G22" s="69" t="s">
        <x:v>137</x:v>
      </x:c>
      <x:c r="H22" s="70" t="s">
        <x:v>133</x:v>
      </x:c>
      <x:c r="I22" s="71">
        <x:v>1</x:v>
      </x:c>
      <x:c r="J22" s="71">
        <x:v>30</x:v>
      </x:c>
      <x:c r="K22" s="72">
        <x:v>0.5</x:v>
      </x:c>
      <x:c r="L22" s="73">
        <x:v>30</x:v>
      </x:c>
      <x:c r="M22" s="74">
        <x:v>15</x:v>
      </x:c>
      <x:c r="N22" s="33" t="s">
        <x:v>51</x:v>
      </x:c>
      <x:c r="O22" s="33" t="s">
        <x:v>138</x:v>
      </x:c>
      <x:c r="P22" s="33" t="s">
        <x:v>139</x:v>
      </x:c>
    </x:row>
    <x:row r="23" ht="51.45000076293945">
      <x:c r="A23" s="75" t="s">
        <x:v>140</x:v>
      </x:c>
      <x:c r="B23" s="75" t="s">
        <x:v>17</x:v>
      </x:c>
      <x:c r="C23" s="76" t="s">
        <x:v>47</x:v>
      </x:c>
      <x:c r="D23" s="76" t="s">
        <x:v>48</x:v>
      </x:c>
      <x:c r="E23" s="76" t="s">
        <x:v>141</x:v>
      </x:c>
      <x:c r="F23" s="76" t="s">
        <x:v>142</x:v>
      </x:c>
      <x:c r="G23" s="76" t="s">
        <x:v>143</x:v>
      </x:c>
      <x:c r="H23" s="70" t="s">
        <x:v>23</x:v>
      </x:c>
      <x:c r="I23" s="71">
        <x:v>1</x:v>
      </x:c>
      <x:c r="J23" s="71">
        <x:v>30</x:v>
      </x:c>
      <x:c r="K23" s="72">
        <x:v>0.5</x:v>
      </x:c>
      <x:c r="L23" s="73">
        <x:v>30</x:v>
      </x:c>
      <x:c r="M23" s="74">
        <x:v>15</x:v>
      </x:c>
      <x:c r="N23" s="33" t="s">
        <x:v>51</x:v>
      </x:c>
      <x:c r="O23" s="33" t="s">
        <x:v>144</x:v>
      </x:c>
      <x:c r="P23" s="33" t="s">
        <x:v>145</x:v>
      </x:c>
    </x:row>
    <x:row r="24" ht="38.599998474121094">
      <x:c r="A24" s="68" t="s">
        <x:v>146</x:v>
      </x:c>
      <x:c r="B24" s="68" t="s">
        <x:v>17</x:v>
      </x:c>
      <x:c r="C24" s="69" t="s">
        <x:v>47</x:v>
      </x:c>
      <x:c r="D24" s="69" t="s">
        <x:v>48</x:v>
      </x:c>
      <x:c r="E24" s="69" t="s">
        <x:v>141</x:v>
      </x:c>
      <x:c r="F24" s="69" t="s">
        <x:v>147</x:v>
      </x:c>
      <x:c r="G24" s="69" t="s">
        <x:v>148</x:v>
      </x:c>
      <x:c r="H24" s="70" t="s">
        <x:v>23</x:v>
      </x:c>
      <x:c r="I24" s="71">
        <x:v>1</x:v>
      </x:c>
      <x:c r="J24" s="71">
        <x:v>90</x:v>
      </x:c>
      <x:c r="K24" s="72">
        <x:v>1.5</x:v>
      </x:c>
      <x:c r="L24" s="73">
        <x:v>30</x:v>
      </x:c>
      <x:c r="M24" s="74">
        <x:v>45</x:v>
      </x:c>
      <x:c r="N24" s="33" t="s">
        <x:v>51</x:v>
      </x:c>
      <x:c r="O24" s="33" t="s">
        <x:v>149</x:v>
      </x:c>
      <x:c r="P24" s="33" t="s">
        <x:v>150</x:v>
      </x:c>
    </x:row>
    <x:row r="25" ht="77.1500015258789">
      <x:c r="A25" s="75" t="s">
        <x:v>151</x:v>
      </x:c>
      <x:c r="B25" s="75" t="s">
        <x:v>17</x:v>
      </x:c>
      <x:c r="C25" s="76" t="s">
        <x:v>47</x:v>
      </x:c>
      <x:c r="D25" s="76" t="s">
        <x:v>48</x:v>
      </x:c>
      <x:c r="E25" s="76" t="s">
        <x:v>141</x:v>
      </x:c>
      <x:c r="F25" s="76" t="s">
        <x:v>152</x:v>
      </x:c>
      <x:c r="G25" s="76" t="s">
        <x:v>153</x:v>
      </x:c>
      <x:c r="H25" s="70" t="s">
        <x:v>23</x:v>
      </x:c>
      <x:c r="I25" s="71">
        <x:v>1</x:v>
      </x:c>
      <x:c r="J25" s="71">
        <x:v>30</x:v>
      </x:c>
      <x:c r="K25" s="72">
        <x:v>0.5</x:v>
      </x:c>
      <x:c r="L25" s="73">
        <x:v>30</x:v>
      </x:c>
      <x:c r="M25" s="74">
        <x:v>15</x:v>
      </x:c>
      <x:c r="N25" s="33" t="s">
        <x:v>51</x:v>
      </x:c>
      <x:c r="O25" s="33" t="s">
        <x:v>154</x:v>
      </x:c>
      <x:c r="P25" s="33" t="s">
        <x:v>88</x:v>
      </x:c>
    </x:row>
    <x:row r="26" ht="51.45000076293945">
      <x:c r="A26" s="68" t="s">
        <x:v>155</x:v>
      </x:c>
      <x:c r="B26" s="68" t="s">
        <x:v>17</x:v>
      </x:c>
      <x:c r="C26" s="69" t="s">
        <x:v>47</x:v>
      </x:c>
      <x:c r="D26" s="69" t="s">
        <x:v>48</x:v>
      </x:c>
      <x:c r="E26" s="69" t="s">
        <x:v>156</x:v>
      </x:c>
      <x:c r="F26" s="69" t="s">
        <x:v>157</x:v>
      </x:c>
      <x:c r="G26" s="69" t="s">
        <x:v>158</x:v>
      </x:c>
      <x:c r="H26" s="70" t="s">
        <x:v>159</x:v>
      </x:c>
      <x:c r="I26" s="71">
        <x:v>1</x:v>
      </x:c>
      <x:c r="J26" s="71">
        <x:v>240</x:v>
      </x:c>
      <x:c r="K26" s="72">
        <x:v>4</x:v>
      </x:c>
      <x:c r="L26" s="73">
        <x:v>30</x:v>
      </x:c>
      <x:c r="M26" s="74">
        <x:v>120</x:v>
      </x:c>
      <x:c r="N26" s="33" t="s">
        <x:v>51</x:v>
      </x:c>
      <x:c r="O26" s="33" t="s">
        <x:v>160</x:v>
      </x:c>
      <x:c r="P26" s="33" t="s">
        <x:v>161</x:v>
      </x:c>
    </x:row>
    <x:row r="27" ht="51.45000076293945">
      <x:c r="A27" s="75" t="s">
        <x:v>162</x:v>
      </x:c>
      <x:c r="B27" s="75" t="s">
        <x:v>17</x:v>
      </x:c>
      <x:c r="C27" s="76" t="s">
        <x:v>163</x:v>
      </x:c>
      <x:c r="D27" s="76" t="s">
        <x:v>164</x:v>
      </x:c>
      <x:c r="E27" s="76" t="s">
        <x:v>165</x:v>
      </x:c>
      <x:c r="F27" s="76" t="s">
        <x:v>166</x:v>
      </x:c>
      <x:c r="G27" s="76" t="s">
        <x:v>167</x:v>
      </x:c>
      <x:c r="H27" s="70" t="s">
        <x:v>23</x:v>
      </x:c>
      <x:c r="I27" s="71">
        <x:v>1</x:v>
      </x:c>
      <x:c r="J27" s="71">
        <x:v>240</x:v>
      </x:c>
      <x:c r="K27" s="72">
        <x:v>4</x:v>
      </x:c>
      <x:c r="L27" s="73">
        <x:v>30</x:v>
      </x:c>
      <x:c r="M27" s="74">
        <x:v>120</x:v>
      </x:c>
      <x:c r="N27" s="33" t="s">
        <x:v>51</x:v>
      </x:c>
      <x:c r="O27" s="33" t="s">
        <x:v>168</x:v>
      </x:c>
      <x:c r="P27" s="33" t="s">
        <x:v>169</x:v>
      </x:c>
    </x:row>
    <x:row r="28" ht="90">
      <x:c r="A28" s="68" t="s">
        <x:v>170</x:v>
      </x:c>
      <x:c r="B28" s="68" t="s">
        <x:v>17</x:v>
      </x:c>
      <x:c r="C28" s="69" t="s">
        <x:v>163</x:v>
      </x:c>
      <x:c r="D28" s="69" t="s">
        <x:v>164</x:v>
      </x:c>
      <x:c r="E28" s="69" t="s">
        <x:v>28</x:v>
      </x:c>
      <x:c r="F28" s="69" t="s">
        <x:v>171</x:v>
      </x:c>
      <x:c r="G28" s="69" t="s">
        <x:v>172</x:v>
      </x:c>
      <x:c r="H28" s="70" t="s">
        <x:v>23</x:v>
      </x:c>
      <x:c r="I28" s="71">
        <x:v>1</x:v>
      </x:c>
      <x:c r="J28" s="71">
        <x:v>240</x:v>
      </x:c>
      <x:c r="K28" s="72">
        <x:v>4</x:v>
      </x:c>
      <x:c r="L28" s="73">
        <x:v>30</x:v>
      </x:c>
      <x:c r="M28" s="74">
        <x:v>120</x:v>
      </x:c>
      <x:c r="N28" s="33" t="s">
        <x:v>31</x:v>
      </x:c>
      <x:c r="O28" s="33" t="s">
        <x:v>173</x:v>
      </x:c>
      <x:c r="P28" s="33" t="s">
        <x:v>174</x:v>
      </x:c>
    </x:row>
    <x:row r="29" ht="64.30000305175781">
      <x:c r="A29" s="75" t="s">
        <x:v>175</x:v>
      </x:c>
      <x:c r="B29" s="75" t="s">
        <x:v>17</x:v>
      </x:c>
      <x:c r="C29" s="76" t="s">
        <x:v>47</x:v>
      </x:c>
      <x:c r="D29" s="76" t="s">
        <x:v>55</x:v>
      </x:c>
      <x:c r="E29" s="76" t="s">
        <x:v>176</x:v>
      </x:c>
      <x:c r="F29" s="76" t="s">
        <x:v>177</x:v>
      </x:c>
      <x:c r="G29" s="76" t="s">
        <x:v>178</x:v>
      </x:c>
      <x:c r="H29" s="70" t="s">
        <x:v>179</x:v>
      </x:c>
      <x:c r="I29" s="71">
        <x:v>1</x:v>
      </x:c>
      <x:c r="J29" s="71">
        <x:v>30</x:v>
      </x:c>
      <x:c r="K29" s="72">
        <x:v>0.5</x:v>
      </x:c>
      <x:c r="L29" s="73">
        <x:v>30</x:v>
      </x:c>
      <x:c r="M29" s="74">
        <x:v>15</x:v>
      </x:c>
      <x:c r="N29" s="33" t="s">
        <x:v>180</x:v>
      </x:c>
      <x:c r="O29" s="33" t="s">
        <x:v>181</x:v>
      </x:c>
      <x:c r="P29" s="33" t="s">
        <x:v>182</x:v>
      </x:c>
    </x:row>
    <x:row r="30" ht="38.599998474121094">
      <x:c r="A30" s="68" t="s">
        <x:v>183</x:v>
      </x:c>
      <x:c r="B30" s="68" t="s">
        <x:v>17</x:v>
      </x:c>
      <x:c r="C30" s="69" t="s">
        <x:v>47</x:v>
      </x:c>
      <x:c r="D30" s="69" t="s">
        <x:v>48</x:v>
      </x:c>
      <x:c r="E30" s="69" t="s">
        <x:v>184</x:v>
      </x:c>
      <x:c r="F30" s="69" t="s">
        <x:v>185</x:v>
      </x:c>
      <x:c r="G30" s="69" t="s">
        <x:v>186</x:v>
      </x:c>
      <x:c r="H30" s="70" t="s">
        <x:v>187</x:v>
      </x:c>
      <x:c r="I30" s="71">
        <x:v>1</x:v>
      </x:c>
      <x:c r="J30" s="71">
        <x:v>30</x:v>
      </x:c>
      <x:c r="K30" s="72">
        <x:v>0.5</x:v>
      </x:c>
      <x:c r="L30" s="73">
        <x:v>30</x:v>
      </x:c>
      <x:c r="M30" s="74">
        <x:v>15</x:v>
      </x:c>
      <x:c r="N30" s="33" t="s">
        <x:v>188</x:v>
      </x:c>
      <x:c r="O30" s="33" t="s">
        <x:v>189</x:v>
      </x:c>
      <x:c r="P30" s="33" t="s">
        <x:v>190</x:v>
      </x:c>
    </x:row>
    <x:row r="31" ht="2.049999952316284" customHeight="1">
      <x:c r="A31" s="77" t="s">
        <x:v>191</x:v>
      </x:c>
      <x:c r="B31" s="77" t="s">
        <x:v>17</x:v>
      </x:c>
      <x:c r="C31" s="77" t="s">
        <x:v>47</x:v>
      </x:c>
      <x:c r="D31" s="77" t="s">
        <x:v>48</x:v>
      </x:c>
      <x:c r="E31" s="77" t="s">
        <x:v>192</x:v>
      </x:c>
      <x:c r="F31" s="77" t="s">
        <x:v>193</x:v>
      </x:c>
      <x:c r="G31" s="77" t="s">
        <x:v>194</x:v>
      </x:c>
      <x:c r="H31" s="78" t="s">
        <x:v>195</x:v>
      </x:c>
      <x:c r="I31" s="79">
        <x:v>1</x:v>
      </x:c>
      <x:c r="J31" s="79">
        <x:v>30</x:v>
      </x:c>
      <x:c r="K31" s="80">
        <x:v>0.5</x:v>
      </x:c>
      <x:c r="L31" s="79">
        <x:v>30</x:v>
      </x:c>
      <x:c r="M31" s="80">
        <x:v>15</x:v>
      </x:c>
      <x:c r="N31" s="81" t="s">
        <x:v>188</x:v>
      </x:c>
      <x:c r="O31" s="81" t="s">
        <x:v>196</x:v>
      </x:c>
      <x:c r="P31" s="81" t="s">
        <x:v>197</x:v>
      </x:c>
    </x:row>
    <x:row r="32" ht="2.049999952316284" customHeight="1">
      <x:c r="A32" s="77" t="s">
        <x:v>198</x:v>
      </x:c>
      <x:c r="B32" s="77" t="s">
        <x:v>17</x:v>
      </x:c>
      <x:c r="C32" s="77" t="s">
        <x:v>47</x:v>
      </x:c>
      <x:c r="D32" s="77" t="s">
        <x:v>48</x:v>
      </x:c>
      <x:c r="E32" s="77" t="s">
        <x:v>192</x:v>
      </x:c>
      <x:c r="F32" s="77" t="s">
        <x:v>199</x:v>
      </x:c>
      <x:c r="G32" s="77" t="s">
        <x:v>200</x:v>
      </x:c>
      <x:c r="H32" s="78" t="s">
        <x:v>179</x:v>
      </x:c>
      <x:c r="I32" s="79">
        <x:v>1</x:v>
      </x:c>
      <x:c r="J32" s="79">
        <x:v>60</x:v>
      </x:c>
      <x:c r="K32" s="80">
        <x:v>1</x:v>
      </x:c>
      <x:c r="L32" s="79">
        <x:v>30</x:v>
      </x:c>
      <x:c r="M32" s="80">
        <x:v>30</x:v>
      </x:c>
      <x:c r="N32" s="81" t="s">
        <x:v>188</x:v>
      </x:c>
      <x:c r="O32" s="81" t="s">
        <x:v>201</x:v>
      </x:c>
      <x:c r="P32" s="81" t="s">
        <x:v>202</x:v>
      </x:c>
    </x:row>
    <x:row r="33" ht="2.049999952316284" customHeight="1">
      <x:c r="A33" s="77" t="s">
        <x:v>203</x:v>
      </x:c>
      <x:c r="B33" s="77" t="s">
        <x:v>17</x:v>
      </x:c>
      <x:c r="C33" s="77" t="s">
        <x:v>47</x:v>
      </x:c>
      <x:c r="D33" s="77" t="s">
        <x:v>48</x:v>
      </x:c>
      <x:c r="E33" s="77" t="s">
        <x:v>79</x:v>
      </x:c>
      <x:c r="F33" s="77" t="s">
        <x:v>204</x:v>
      </x:c>
      <x:c r="G33" s="77" t="s">
        <x:v>205</x:v>
      </x:c>
      <x:c r="H33" s="78" t="s">
        <x:v>179</x:v>
      </x:c>
      <x:c r="I33" s="79">
        <x:v>1</x:v>
      </x:c>
      <x:c r="J33" s="79">
        <x:v>30</x:v>
      </x:c>
      <x:c r="K33" s="80">
        <x:v>0.5</x:v>
      </x:c>
      <x:c r="L33" s="79">
        <x:v>30</x:v>
      </x:c>
      <x:c r="M33" s="80">
        <x:v>15</x:v>
      </x:c>
      <x:c r="N33" s="81" t="s">
        <x:v>188</x:v>
      </x:c>
      <x:c r="O33" s="81" t="s">
        <x:v>206</x:v>
      </x:c>
      <x:c r="P33" s="81" t="s">
        <x:v>207</x:v>
      </x:c>
    </x:row>
    <x:row r="34" ht="2.049999952316284" customHeight="1">
      <x:c r="A34" s="77" t="s">
        <x:v>208</x:v>
      </x:c>
      <x:c r="B34" s="77" t="s">
        <x:v>17</x:v>
      </x:c>
      <x:c r="C34" s="77" t="s">
        <x:v>47</x:v>
      </x:c>
      <x:c r="D34" s="77" t="s">
        <x:v>48</x:v>
      </x:c>
      <x:c r="E34" s="77" t="s">
        <x:v>79</x:v>
      </x:c>
      <x:c r="F34" s="77" t="s">
        <x:v>209</x:v>
      </x:c>
      <x:c r="G34" s="77" t="s">
        <x:v>210</x:v>
      </x:c>
      <x:c r="H34" s="78" t="s">
        <x:v>211</x:v>
      </x:c>
      <x:c r="I34" s="79">
        <x:v>1</x:v>
      </x:c>
      <x:c r="J34" s="79">
        <x:v>15</x:v>
      </x:c>
      <x:c r="K34" s="80">
        <x:v>0.25</x:v>
      </x:c>
      <x:c r="L34" s="79">
        <x:v>30</x:v>
      </x:c>
      <x:c r="M34" s="80">
        <x:v>7.5</x:v>
      </x:c>
      <x:c r="N34" s="81" t="s">
        <x:v>188</x:v>
      </x:c>
      <x:c r="O34" s="81" t="s">
        <x:v>212</x:v>
      </x:c>
      <x:c r="P34" s="81" t="s">
        <x:v>213</x:v>
      </x:c>
    </x:row>
    <x:row r="35" ht="2.049999952316284" customHeight="1">
      <x:c r="A35" s="77" t="s">
        <x:v>214</x:v>
      </x:c>
      <x:c r="B35" s="77" t="s">
        <x:v>17</x:v>
      </x:c>
      <x:c r="C35" s="77" t="s">
        <x:v>47</x:v>
      </x:c>
      <x:c r="D35" s="77" t="s">
        <x:v>48</x:v>
      </x:c>
      <x:c r="E35" s="77" t="s">
        <x:v>99</x:v>
      </x:c>
      <x:c r="F35" s="77" t="s">
        <x:v>215</x:v>
      </x:c>
      <x:c r="G35" s="77" t="s">
        <x:v>216</x:v>
      </x:c>
      <x:c r="H35" s="78" t="s">
        <x:v>179</x:v>
      </x:c>
      <x:c r="I35" s="79">
        <x:v>1</x:v>
      </x:c>
      <x:c r="J35" s="79">
        <x:v>60</x:v>
      </x:c>
      <x:c r="K35" s="80">
        <x:v>1</x:v>
      </x:c>
      <x:c r="L35" s="79">
        <x:v>30</x:v>
      </x:c>
      <x:c r="M35" s="80">
        <x:v>30</x:v>
      </x:c>
      <x:c r="N35" s="81" t="s">
        <x:v>188</x:v>
      </x:c>
      <x:c r="O35" s="81" t="s">
        <x:v>217</x:v>
      </x:c>
      <x:c r="P35" s="81" t="s">
        <x:v>218</x:v>
      </x:c>
    </x:row>
    <x:row r="36" ht="84.9000015258789">
      <x:c r="A36" s="34" t="s">
        <x:v>219</x:v>
      </x:c>
      <x:c r="B36" s="34" t="s">
        <x:v>17</x:v>
      </x:c>
      <x:c r="C36" s="34" t="s">
        <x:v>47</x:v>
      </x:c>
      <x:c r="D36" s="34" t="s">
        <x:v>55</x:v>
      </x:c>
      <x:c r="E36" s="34" t="s">
        <x:v>220</x:v>
      </x:c>
      <x:c r="F36" s="34" t="s">
        <x:v>221</x:v>
      </x:c>
      <x:c r="G36" s="34" t="s">
        <x:v>222</x:v>
      </x:c>
      <x:c r="H36" s="34" t="s">
        <x:v>223</x:v>
      </x:c>
      <x:c r="I36" s="34">
        <x:v>1</x:v>
      </x:c>
      <x:c r="J36" s="34">
        <x:v>120</x:v>
      </x:c>
      <x:c r="K36" s="34">
        <x:v>2</x:v>
      </x:c>
      <x:c r="L36" s="34">
        <x:v>25</x:v>
      </x:c>
      <x:c r="M36" s="34">
        <x:v>50</x:v>
      </x:c>
      <x:c r="N36" s="34" t="s">
        <x:v>224</x:v>
      </x:c>
      <x:c r="O36" s="34" t="s">
        <x:v>225</x:v>
      </x:c>
      <x:c r="P36" s="34" t="s">
        <x:v>226</x:v>
      </x:c>
    </x:row>
    <x:row r="37" ht="70.75">
      <x:c r="A37" s="34" t="s">
        <x:v>227</x:v>
      </x:c>
      <x:c r="B37" s="34" t="s">
        <x:v>17</x:v>
      </x:c>
      <x:c r="C37" s="34" t="s">
        <x:v>18</x:v>
      </x:c>
      <x:c r="D37" s="34" t="s">
        <x:v>19</x:v>
      </x:c>
      <x:c r="E37" s="34" t="s">
        <x:v>176</x:v>
      </x:c>
      <x:c r="F37" s="34" t="s">
        <x:v>228</x:v>
      </x:c>
      <x:c r="G37" s="34" t="s">
        <x:v>229</x:v>
      </x:c>
      <x:c r="H37" s="34" t="s">
        <x:v>179</x:v>
      </x:c>
      <x:c r="I37" s="34">
        <x:v>1</x:v>
      </x:c>
      <x:c r="J37" s="34">
        <x:v>30</x:v>
      </x:c>
      <x:c r="K37" s="34">
        <x:v>0.5</x:v>
      </x:c>
      <x:c r="L37" s="34">
        <x:v>50</x:v>
      </x:c>
      <x:c r="M37" s="34">
        <x:v>25</x:v>
      </x:c>
      <x:c r="N37" s="34" t="s">
        <x:v>230</x:v>
      </x:c>
      <x:c r="O37" s="34" t="s">
        <x:v>231</x:v>
      </x:c>
      <x:c r="P37" s="34" t="s">
        <x:v>232</x:v>
      </x:c>
    </x:row>
    <x:row r="38" ht="84.9000015258789">
      <x:c r="A38" s="34" t="s">
        <x:v>233</x:v>
      </x:c>
      <x:c r="B38" s="34" t="s">
        <x:v>17</x:v>
      </x:c>
      <x:c r="C38" s="34" t="s">
        <x:v>18</x:v>
      </x:c>
      <x:c r="D38" s="34" t="s">
        <x:v>19</x:v>
      </x:c>
      <x:c r="E38" s="34" t="s">
        <x:v>130</x:v>
      </x:c>
      <x:c r="F38" s="34" t="s">
        <x:v>234</x:v>
      </x:c>
      <x:c r="G38" s="34" t="s">
        <x:v>235</x:v>
      </x:c>
      <x:c r="H38" s="34" t="s">
        <x:v>133</x:v>
      </x:c>
      <x:c r="I38" s="34">
        <x:v>1</x:v>
      </x:c>
      <x:c r="J38" s="34">
        <x:v>15</x:v>
      </x:c>
      <x:c r="K38" s="34">
        <x:v>0.25</x:v>
      </x:c>
      <x:c r="L38" s="34">
        <x:v>50</x:v>
      </x:c>
      <x:c r="M38" s="34">
        <x:v>12.5</x:v>
      </x:c>
      <x:c r="N38" s="34" t="s">
        <x:v>24</x:v>
      </x:c>
      <x:c r="O38" s="34" t="s">
        <x:v>236</x:v>
      </x:c>
      <x:c r="P38" s="34" t="s">
        <x:v>237</x:v>
      </x:c>
    </x:row>
    <x:row r="39" ht="56.599998474121094">
      <x:c r="A39" s="34" t="s">
        <x:v>238</x:v>
      </x:c>
      <x:c r="B39" s="34" t="s">
        <x:v>17</x:v>
      </x:c>
      <x:c r="C39" s="34" t="s">
        <x:v>47</x:v>
      </x:c>
      <x:c r="D39" s="34" t="s">
        <x:v>48</x:v>
      </x:c>
      <x:c r="E39" s="34" t="s">
        <x:v>20</x:v>
      </x:c>
      <x:c r="F39" s="34" t="s">
        <x:v>239</x:v>
      </x:c>
      <x:c r="G39" s="34" t="s">
        <x:v>240</x:v>
      </x:c>
      <x:c r="H39" s="34" t="s">
        <x:v>23</x:v>
      </x:c>
      <x:c r="I39" s="34">
        <x:v>1</x:v>
      </x:c>
      <x:c r="J39" s="34">
        <x:v>30</x:v>
      </x:c>
      <x:c r="K39" s="34">
        <x:v>0.5</x:v>
      </x:c>
      <x:c r="L39" s="34">
        <x:v>50</x:v>
      </x:c>
      <x:c r="M39" s="34">
        <x:v>25</x:v>
      </x:c>
      <x:c r="N39" s="34" t="s">
        <x:v>24</x:v>
      </x:c>
      <x:c r="O39" s="34" t="s">
        <x:v>241</x:v>
      </x:c>
      <x:c r="P39" s="34" t="s">
        <x:v>242</x:v>
      </x:c>
    </x:row>
    <x:row r="40" ht="56.599998474121094">
      <x:c r="A40" s="34" t="s">
        <x:v>243</x:v>
      </x:c>
      <x:c r="B40" s="34" t="s">
        <x:v>17</x:v>
      </x:c>
      <x:c r="C40" s="34" t="s">
        <x:v>47</x:v>
      </x:c>
      <x:c r="D40" s="34" t="s">
        <x:v>48</x:v>
      </x:c>
      <x:c r="E40" s="34" t="s">
        <x:v>156</x:v>
      </x:c>
      <x:c r="F40" s="34" t="s">
        <x:v>244</x:v>
      </x:c>
      <x:c r="G40" s="34" t="s">
        <x:v>245</x:v>
      </x:c>
      <x:c r="H40" s="34" t="s">
        <x:v>179</x:v>
      </x:c>
      <x:c r="I40" s="34">
        <x:v>1</x:v>
      </x:c>
      <x:c r="J40" s="34">
        <x:v>60</x:v>
      </x:c>
      <x:c r="K40" s="34">
        <x:v>1</x:v>
      </x:c>
      <x:c r="L40" s="34">
        <x:v>30</x:v>
      </x:c>
      <x:c r="M40" s="34">
        <x:v>30</x:v>
      </x:c>
      <x:c r="N40" s="34" t="s">
        <x:v>51</x:v>
      </x:c>
      <x:c r="O40" s="34" t="s">
        <x:v>246</x:v>
      </x:c>
      <x:c r="P40" s="34" t="s">
        <x:v>247</x:v>
      </x:c>
    </x:row>
    <x:row r="41" ht="56.599998474121094">
      <x:c r="A41" s="34" t="s">
        <x:v>248</x:v>
      </x:c>
      <x:c r="B41" s="34" t="s">
        <x:v>17</x:v>
      </x:c>
      <x:c r="C41" s="34" t="s">
        <x:v>163</x:v>
      </x:c>
      <x:c r="D41" s="34" t="s">
        <x:v>164</x:v>
      </x:c>
      <x:c r="E41" s="34" t="s">
        <x:v>165</x:v>
      </x:c>
      <x:c r="F41" s="34" t="s">
        <x:v>249</x:v>
      </x:c>
      <x:c r="G41" s="34" t="s">
        <x:v>250</x:v>
      </x:c>
      <x:c r="H41" s="34" t="s">
        <x:v>179</x:v>
      </x:c>
      <x:c r="I41" s="34">
        <x:v>1</x:v>
      </x:c>
      <x:c r="J41" s="34">
        <x:v>30</x:v>
      </x:c>
      <x:c r="K41" s="34">
        <x:v>0.5</x:v>
      </x:c>
      <x:c r="L41" s="34">
        <x:v>30</x:v>
      </x:c>
      <x:c r="M41" s="34">
        <x:v>15</x:v>
      </x:c>
      <x:c r="N41" s="34" t="s">
        <x:v>51</x:v>
      </x:c>
      <x:c r="O41" s="34" t="s">
        <x:v>251</x:v>
      </x:c>
      <x:c r="P41" s="34" t="s">
        <x:v>252</x:v>
      </x:c>
    </x:row>
    <x:row r="42" ht="70.75">
      <x:c r="A42" s="34" t="s">
        <x:v>253</x:v>
      </x:c>
      <x:c r="B42" s="34" t="s">
        <x:v>17</x:v>
      </x:c>
      <x:c r="C42" s="34" t="s">
        <x:v>163</x:v>
      </x:c>
      <x:c r="D42" s="34" t="s">
        <x:v>164</x:v>
      </x:c>
      <x:c r="E42" s="34" t="s">
        <x:v>28</x:v>
      </x:c>
      <x:c r="F42" s="34" t="s">
        <x:v>254</x:v>
      </x:c>
      <x:c r="G42" s="34" t="s">
        <x:v>255</x:v>
      </x:c>
      <x:c r="H42" s="34" t="s">
        <x:v>179</x:v>
      </x:c>
      <x:c r="I42" s="34">
        <x:v>1</x:v>
      </x:c>
      <x:c r="J42" s="34">
        <x:v>30</x:v>
      </x:c>
      <x:c r="K42" s="34">
        <x:v>0.5</x:v>
      </x:c>
      <x:c r="L42" s="34">
        <x:v>30</x:v>
      </x:c>
      <x:c r="M42" s="34">
        <x:v>15</x:v>
      </x:c>
      <x:c r="N42" s="34" t="s">
        <x:v>256</x:v>
      </x:c>
      <x:c r="O42" s="34" t="s">
        <x:v>257</x:v>
      </x:c>
      <x:c r="P42" s="34" t="s">
        <x:v>258</x:v>
      </x:c>
    </x:row>
    <x:row r="43" ht="42.45000076293945">
      <x:c r="A43" s="34" t="s">
        <x:v>259</x:v>
      </x:c>
      <x:c r="B43" s="34" t="s">
        <x:v>17</x:v>
      </x:c>
      <x:c r="C43" s="34" t="s">
        <x:v>47</x:v>
      </x:c>
      <x:c r="D43" s="34" t="s">
        <x:v>48</x:v>
      </x:c>
      <x:c r="E43" s="34" t="s">
        <x:v>176</x:v>
      </x:c>
      <x:c r="F43" s="34" t="s">
        <x:v>260</x:v>
      </x:c>
      <x:c r="G43" s="34" t="s">
        <x:v>261</x:v>
      </x:c>
      <x:c r="H43" s="34" t="s">
        <x:v>179</x:v>
      </x:c>
      <x:c r="I43" s="34">
        <x:v>1</x:v>
      </x:c>
      <x:c r="J43" s="34">
        <x:v>15</x:v>
      </x:c>
      <x:c r="K43" s="34">
        <x:v>0.25</x:v>
      </x:c>
      <x:c r="L43" s="34">
        <x:v>30</x:v>
      </x:c>
      <x:c r="M43" s="34">
        <x:v>7.5</x:v>
      </x:c>
      <x:c r="N43" s="34" t="s">
        <x:v>31</x:v>
      </x:c>
      <x:c r="O43" s="34" t="s">
        <x:v>262</x:v>
      </x:c>
      <x:c r="P43" s="34" t="s">
        <x:v>258</x:v>
      </x:c>
    </x:row>
    <x:row r="44" ht="70.75">
      <x:c r="A44" s="34" t="s">
        <x:v>263</x:v>
      </x:c>
      <x:c r="B44" s="34" t="s">
        <x:v>17</x:v>
      </x:c>
      <x:c r="C44" s="34" t="s">
        <x:v>264</x:v>
      </x:c>
      <x:c r="D44" s="34" t="s">
        <x:v>265</x:v>
      </x:c>
      <x:c r="E44" s="34" t="s">
        <x:v>20</x:v>
      </x:c>
      <x:c r="F44" s="34" t="s">
        <x:v>266</x:v>
      </x:c>
      <x:c r="G44" s="34" t="s">
        <x:v>267</x:v>
      </x:c>
      <x:c r="H44" s="34" t="s">
        <x:v>23</x:v>
      </x:c>
      <x:c r="I44" s="34">
        <x:v>1</x:v>
      </x:c>
      <x:c r="J44" s="34">
        <x:v>60</x:v>
      </x:c>
      <x:c r="K44" s="34">
        <x:v>1</x:v>
      </x:c>
      <x:c r="L44" s="34">
        <x:v>30</x:v>
      </x:c>
      <x:c r="M44" s="34">
        <x:v>30</x:v>
      </x:c>
      <x:c r="N44" s="34" t="s">
        <x:v>268</x:v>
      </x:c>
      <x:c r="O44" s="34" t="s">
        <x:v>269</x:v>
      </x:c>
      <x:c r="P44" s="34" t="s">
        <x:v>270</x:v>
      </x:c>
    </x:row>
  </x:sheetData>
  <x:pageMargins left="0.7" right="0.7" top="0.75" bottom="0.75" header="0.3" footer="0.3"/>
  <x:tableParts count="1">
    <x:tablePart xmlns:r="http://schemas.openxmlformats.org/officeDocument/2006/relationships" r:id="R43f656bb835f471c"/>
  </x:tableParts>
</x:worksheet>
</file>

<file path=xl/worksheets/sheet2.xml><?xml version="1.0" encoding="utf-8"?>
<x:worksheet xmlns:x="http://schemas.openxmlformats.org/spreadsheetml/2006/main">
  <x:sheetFormatPr baseColWidth="10" defaultColWidth="9.140625" defaultRowHeight="14.149999618530273"/>
  <x:cols>
    <x:col min="1" max="1" width="12" customWidth="1"/>
    <x:col min="2" max="2" width="10" customWidth="1"/>
    <x:col min="3" max="3" width="26" customWidth="1"/>
    <x:col min="4" max="4" width="30" customWidth="1"/>
    <x:col min="5" max="5" width="24" customWidth="1"/>
    <x:col min="6" max="6" width="38" customWidth="1"/>
    <x:col min="7" max="7" width="42" customWidth="1"/>
    <x:col min="8" max="9" width="14" customWidth="1"/>
    <x:col min="10" max="11" width="17" customWidth="1"/>
    <x:col min="12" max="12" width="18" customWidth="1"/>
    <x:col min="13" max="13" width="20" customWidth="1"/>
    <x:col min="14" max="14" width="31" customWidth="1"/>
    <x:col min="15" max="15" width="34" customWidth="1"/>
    <x:col min="16" max="16" width="48" customWidth="1"/>
  </x:cols>
  <x:sheetData>
    <x:row r="1" ht="25.75">
      <x:c r="A1" s="32" t="s">
        <x:v>0</x:v>
      </x:c>
      <x:c r="B1" s="32" t="s">
        <x:v>1</x:v>
      </x:c>
      <x:c r="C1" s="32" t="s">
        <x:v>2</x:v>
      </x:c>
      <x:c r="D1" s="32" t="s">
        <x:v>3</x:v>
      </x:c>
      <x:c r="E1" s="32" t="s">
        <x:v>4</x:v>
      </x:c>
      <x:c r="F1" s="32" t="s">
        <x:v>5</x:v>
      </x:c>
      <x:c r="G1" s="32" t="s">
        <x:v>6</x:v>
      </x:c>
      <x:c r="H1" s="32" t="s">
        <x:v>7</x:v>
      </x:c>
      <x:c r="I1" s="32" t="s">
        <x:v>8</x:v>
      </x:c>
      <x:c r="J1" s="32" t="s">
        <x:v>9</x:v>
      </x:c>
      <x:c r="K1" s="32" t="s">
        <x:v>10</x:v>
      </x:c>
      <x:c r="L1" s="32" t="s">
        <x:v>11</x:v>
      </x:c>
      <x:c r="M1" s="32" t="s">
        <x:v>12</x:v>
      </x:c>
      <x:c r="N1" s="32" t="s">
        <x:v>13</x:v>
      </x:c>
      <x:c r="O1" s="32" t="s">
        <x:v>14</x:v>
      </x:c>
      <x:c r="P1" s="32" t="s">
        <x:v>15</x:v>
      </x:c>
    </x:row>
    <x:row r="2" ht="77.1500015258789">
      <x:c r="A2" s="68" t="s">
        <x:v>271</x:v>
      </x:c>
      <x:c r="B2" s="68" t="s">
        <x:v>272</x:v>
      </x:c>
      <x:c r="C2" s="69" t="s">
        <x:v>18</x:v>
      </x:c>
      <x:c r="D2" s="69" t="s">
        <x:v>19</x:v>
      </x:c>
      <x:c r="E2" s="69" t="s">
        <x:v>20</x:v>
      </x:c>
      <x:c r="F2" s="69" t="s">
        <x:v>273</x:v>
      </x:c>
      <x:c r="G2" s="69" t="s">
        <x:v>274</x:v>
      </x:c>
      <x:c r="H2" s="70" t="s">
        <x:v>23</x:v>
      </x:c>
      <x:c r="I2" s="71">
        <x:v>1</x:v>
      </x:c>
      <x:c r="J2" s="71">
        <x:v>15</x:v>
      </x:c>
      <x:c r="K2" s="72">
        <x:v>0.25</x:v>
      </x:c>
      <x:c r="L2" s="82">
        <x:v>50</x:v>
      </x:c>
      <x:c r="M2" s="83">
        <x:v>12.5</x:v>
      </x:c>
      <x:c r="N2" s="33" t="s">
        <x:v>275</x:v>
      </x:c>
      <x:c r="O2" s="33" t="s">
        <x:v>276</x:v>
      </x:c>
      <x:c r="P2" s="33" t="s">
        <x:v>277</x:v>
      </x:c>
    </x:row>
    <x:row r="3" ht="51.45000076293945">
      <x:c r="A3" s="75" t="s">
        <x:v>278</x:v>
      </x:c>
      <x:c r="B3" s="75" t="s">
        <x:v>272</x:v>
      </x:c>
      <x:c r="C3" s="76" t="s">
        <x:v>18</x:v>
      </x:c>
      <x:c r="D3" s="76" t="s">
        <x:v>19</x:v>
      </x:c>
      <x:c r="E3" s="76" t="s">
        <x:v>28</x:v>
      </x:c>
      <x:c r="F3" s="76" t="s">
        <x:v>41</x:v>
      </x:c>
      <x:c r="G3" s="76" t="s">
        <x:v>42</x:v>
      </x:c>
      <x:c r="H3" s="70" t="s">
        <x:v>23</x:v>
      </x:c>
      <x:c r="I3" s="71">
        <x:v>1</x:v>
      </x:c>
      <x:c r="J3" s="71">
        <x:v>15</x:v>
      </x:c>
      <x:c r="K3" s="72">
        <x:v>0.25</x:v>
      </x:c>
      <x:c r="L3" s="82">
        <x:v>50</x:v>
      </x:c>
      <x:c r="M3" s="83">
        <x:v>12.5</x:v>
      </x:c>
      <x:c r="N3" s="33" t="s">
        <x:v>279</x:v>
      </x:c>
      <x:c r="O3" s="33" t="s">
        <x:v>280</x:v>
      </x:c>
      <x:c r="P3" s="33" t="s">
        <x:v>281</x:v>
      </x:c>
    </x:row>
    <x:row r="4" ht="51.45000076293945">
      <x:c r="A4" s="68" t="s">
        <x:v>282</x:v>
      </x:c>
      <x:c r="B4" s="68" t="s">
        <x:v>272</x:v>
      </x:c>
      <x:c r="C4" s="69" t="s">
        <x:v>47</x:v>
      </x:c>
      <x:c r="D4" s="69" t="s">
        <x:v>48</x:v>
      </x:c>
      <x:c r="E4" s="69" t="s">
        <x:v>20</x:v>
      </x:c>
      <x:c r="F4" s="69" t="s">
        <x:v>49</x:v>
      </x:c>
      <x:c r="G4" s="69" t="s">
        <x:v>50</x:v>
      </x:c>
      <x:c r="H4" s="70" t="s">
        <x:v>23</x:v>
      </x:c>
      <x:c r="I4" s="71">
        <x:v>1</x:v>
      </x:c>
      <x:c r="J4" s="71">
        <x:v>15</x:v>
      </x:c>
      <x:c r="K4" s="72">
        <x:v>0.25</x:v>
      </x:c>
      <x:c r="L4" s="82">
        <x:v>50</x:v>
      </x:c>
      <x:c r="M4" s="83">
        <x:v>12.5</x:v>
      </x:c>
      <x:c r="N4" s="33" t="s">
        <x:v>283</x:v>
      </x:c>
      <x:c r="O4" s="33" t="s">
        <x:v>284</x:v>
      </x:c>
      <x:c r="P4" s="33" t="s">
        <x:v>285</x:v>
      </x:c>
    </x:row>
    <x:row r="5" ht="38.599998474121094">
      <x:c r="A5" s="75" t="s">
        <x:v>286</x:v>
      </x:c>
      <x:c r="B5" s="75" t="s">
        <x:v>272</x:v>
      </x:c>
      <x:c r="C5" s="76" t="s">
        <x:v>47</x:v>
      </x:c>
      <x:c r="D5" s="76" t="s">
        <x:v>55</x:v>
      </x:c>
      <x:c r="E5" s="76" t="s">
        <x:v>20</x:v>
      </x:c>
      <x:c r="F5" s="76" t="s">
        <x:v>56</x:v>
      </x:c>
      <x:c r="G5" s="76" t="s">
        <x:v>57</x:v>
      </x:c>
      <x:c r="H5" s="70" t="s">
        <x:v>23</x:v>
      </x:c>
      <x:c r="I5" s="71">
        <x:v>1</x:v>
      </x:c>
      <x:c r="J5" s="71">
        <x:v>30</x:v>
      </x:c>
      <x:c r="K5" s="72">
        <x:v>0.5</x:v>
      </x:c>
      <x:c r="L5" s="82">
        <x:v>50</x:v>
      </x:c>
      <x:c r="M5" s="83">
        <x:v>25</x:v>
      </x:c>
      <x:c r="N5" s="33" t="s">
        <x:v>287</x:v>
      </x:c>
      <x:c r="O5" s="33" t="s">
        <x:v>288</x:v>
      </x:c>
      <x:c r="P5" s="33" t="s">
        <x:v>289</x:v>
      </x:c>
    </x:row>
    <x:row r="6" ht="38.599998474121094">
      <x:c r="A6" s="68" t="s">
        <x:v>290</x:v>
      </x:c>
      <x:c r="B6" s="68" t="s">
        <x:v>272</x:v>
      </x:c>
      <x:c r="C6" s="69" t="s">
        <x:v>47</x:v>
      </x:c>
      <x:c r="D6" s="69" t="s">
        <x:v>55</x:v>
      </x:c>
      <x:c r="E6" s="69" t="s">
        <x:v>28</x:v>
      </x:c>
      <x:c r="F6" s="69" t="s">
        <x:v>61</x:v>
      </x:c>
      <x:c r="G6" s="69" t="s">
        <x:v>62</x:v>
      </x:c>
      <x:c r="H6" s="70" t="s">
        <x:v>23</x:v>
      </x:c>
      <x:c r="I6" s="71">
        <x:v>1</x:v>
      </x:c>
      <x:c r="J6" s="71">
        <x:v>7.5</x:v>
      </x:c>
      <x:c r="K6" s="72">
        <x:v>0.125</x:v>
      </x:c>
      <x:c r="L6" s="82">
        <x:v>50</x:v>
      </x:c>
      <x:c r="M6" s="83">
        <x:v>6.25</x:v>
      </x:c>
      <x:c r="N6" s="33" t="s">
        <x:v>291</x:v>
      </x:c>
      <x:c r="O6" s="33" t="s">
        <x:v>292</x:v>
      </x:c>
      <x:c r="P6" s="33" t="s">
        <x:v>65</x:v>
      </x:c>
    </x:row>
    <x:row r="7" ht="51.45000076293945">
      <x:c r="A7" s="75" t="s">
        <x:v>293</x:v>
      </x:c>
      <x:c r="B7" s="75" t="s">
        <x:v>272</x:v>
      </x:c>
      <x:c r="C7" s="76" t="s">
        <x:v>47</x:v>
      </x:c>
      <x:c r="D7" s="76" t="s">
        <x:v>48</x:v>
      </x:c>
      <x:c r="E7" s="76" t="s">
        <x:v>28</x:v>
      </x:c>
      <x:c r="F7" s="76" t="s">
        <x:v>294</x:v>
      </x:c>
      <x:c r="G7" s="76" t="s">
        <x:v>295</x:v>
      </x:c>
      <x:c r="H7" s="70" t="s">
        <x:v>296</x:v>
      </x:c>
      <x:c r="I7" s="71">
        <x:v>1</x:v>
      </x:c>
      <x:c r="J7" s="71">
        <x:v>240</x:v>
      </x:c>
      <x:c r="K7" s="72">
        <x:v>4</x:v>
      </x:c>
      <x:c r="L7" s="82">
        <x:v>30</x:v>
      </x:c>
      <x:c r="M7" s="83">
        <x:v>120</x:v>
      </x:c>
      <x:c r="N7" s="33" t="s">
        <x:v>297</x:v>
      </x:c>
      <x:c r="O7" s="33" t="s">
        <x:v>298</x:v>
      </x:c>
      <x:c r="P7" s="33" t="s">
        <x:v>299</x:v>
      </x:c>
    </x:row>
    <x:row r="8" ht="64.30000305175781">
      <x:c r="A8" s="68" t="s">
        <x:v>300</x:v>
      </x:c>
      <x:c r="B8" s="68" t="s">
        <x:v>272</x:v>
      </x:c>
      <x:c r="C8" s="69" t="s">
        <x:v>47</x:v>
      </x:c>
      <x:c r="D8" s="69" t="s">
        <x:v>55</x:v>
      </x:c>
      <x:c r="E8" s="69" t="s">
        <x:v>72</x:v>
      </x:c>
      <x:c r="F8" s="69" t="s">
        <x:v>301</x:v>
      </x:c>
      <x:c r="G8" s="69" t="s">
        <x:v>302</x:v>
      </x:c>
      <x:c r="H8" s="70" t="s">
        <x:v>303</x:v>
      </x:c>
      <x:c r="I8" s="71">
        <x:v>1</x:v>
      </x:c>
      <x:c r="J8" s="71">
        <x:v>60</x:v>
      </x:c>
      <x:c r="K8" s="72">
        <x:v>1</x:v>
      </x:c>
      <x:c r="L8" s="82">
        <x:v>30</x:v>
      </x:c>
      <x:c r="M8" s="83">
        <x:v>30</x:v>
      </x:c>
      <x:c r="N8" s="33" t="s">
        <x:v>304</x:v>
      </x:c>
      <x:c r="O8" s="33" t="s">
        <x:v>305</x:v>
      </x:c>
      <x:c r="P8" s="33" t="s">
        <x:v>306</x:v>
      </x:c>
    </x:row>
    <x:row r="9" ht="64.30000305175781">
      <x:c r="A9" s="75" t="s">
        <x:v>307</x:v>
      </x:c>
      <x:c r="B9" s="75" t="s">
        <x:v>272</x:v>
      </x:c>
      <x:c r="C9" s="76" t="s">
        <x:v>47</x:v>
      </x:c>
      <x:c r="D9" s="76" t="s">
        <x:v>48</x:v>
      </x:c>
      <x:c r="E9" s="76" t="s">
        <x:v>79</x:v>
      </x:c>
      <x:c r="F9" s="76" t="str">
        <x:v>Eigenkontrollcheckliste und betriebliche Nachweise des Gruppenmitglieds prüfen, Prüfergebnis dokumentieren und Mitglied freigeben</x:v>
      </x:c>
      <x:c r="G9" s="76" t="str">
        <x:v>Geprüfte Eigenkontrollcheckliste und betriebliche Nachweise mit dokumentiertem Prüfergebnis und Freigabestatus</x:v>
      </x:c>
      <x:c r="H9" s="70" t="s">
        <x:v>23</x:v>
      </x:c>
      <x:c r="I9" s="71">
        <x:v>1</x:v>
      </x:c>
      <x:c r="J9" s="71">
        <x:v>120</x:v>
      </x:c>
      <x:c r="K9" s="72">
        <x:v>2</x:v>
      </x:c>
      <x:c r="L9" s="82">
        <x:v>30</x:v>
      </x:c>
      <x:c r="M9" s="83">
        <x:v>60</x:v>
      </x:c>
      <x:c r="N9" s="33" t="s">
        <x:v>283</x:v>
      </x:c>
      <x:c r="O9" s="33" t="s">
        <x:v>308</x:v>
      </x:c>
      <x:c r="P9" s="33" t="s">
        <x:v>309</x:v>
      </x:c>
    </x:row>
    <x:row r="10" ht="51.45000076293945">
      <x:c r="A10" s="68" t="s">
        <x:v>310</x:v>
      </x:c>
      <x:c r="B10" s="68" t="s">
        <x:v>272</x:v>
      </x:c>
      <x:c r="C10" s="69" t="s">
        <x:v>47</x:v>
      </x:c>
      <x:c r="D10" s="69" t="s">
        <x:v>48</x:v>
      </x:c>
      <x:c r="E10" s="69" t="s">
        <x:v>79</x:v>
      </x:c>
      <x:c r="F10" s="69" t="s">
        <x:v>85</x:v>
      </x:c>
      <x:c r="G10" s="69" t="s">
        <x:v>86</x:v>
      </x:c>
      <x:c r="H10" s="70" t="s">
        <x:v>23</x:v>
      </x:c>
      <x:c r="I10" s="71">
        <x:v>1</x:v>
      </x:c>
      <x:c r="J10" s="71">
        <x:v>30</x:v>
      </x:c>
      <x:c r="K10" s="72">
        <x:v>0.5</x:v>
      </x:c>
      <x:c r="L10" s="82">
        <x:v>30</x:v>
      </x:c>
      <x:c r="M10" s="83">
        <x:v>15</x:v>
      </x:c>
      <x:c r="N10" s="33" t="s">
        <x:v>283</x:v>
      </x:c>
      <x:c r="O10" s="33" t="s">
        <x:v>311</x:v>
      </x:c>
      <x:c r="P10" s="33" t="s">
        <x:v>312</x:v>
      </x:c>
    </x:row>
    <x:row r="11" ht="38.599998474121094">
      <x:c r="A11" s="75" t="s">
        <x:v>313</x:v>
      </x:c>
      <x:c r="B11" s="75" t="s">
        <x:v>272</x:v>
      </x:c>
      <x:c r="C11" s="76" t="s">
        <x:v>47</x:v>
      </x:c>
      <x:c r="D11" s="76" t="s">
        <x:v>48</x:v>
      </x:c>
      <x:c r="E11" s="76" t="s">
        <x:v>79</x:v>
      </x:c>
      <x:c r="F11" s="76" t="s">
        <x:v>90</x:v>
      </x:c>
      <x:c r="G11" s="76" t="s">
        <x:v>91</x:v>
      </x:c>
      <x:c r="H11" s="70" t="s">
        <x:v>23</x:v>
      </x:c>
      <x:c r="I11" s="71">
        <x:v>1</x:v>
      </x:c>
      <x:c r="J11" s="71">
        <x:v>60</x:v>
      </x:c>
      <x:c r="K11" s="72">
        <x:v>1</x:v>
      </x:c>
      <x:c r="L11" s="82">
        <x:v>30</x:v>
      </x:c>
      <x:c r="M11" s="83">
        <x:v>30</x:v>
      </x:c>
      <x:c r="N11" s="33" t="s">
        <x:v>314</x:v>
      </x:c>
      <x:c r="O11" s="33" t="s">
        <x:v>315</x:v>
      </x:c>
      <x:c r="P11" s="33" t="s">
        <x:v>316</x:v>
      </x:c>
    </x:row>
    <x:row r="12" ht="38.599998474121094">
      <x:c r="A12" s="68" t="s">
        <x:v>317</x:v>
      </x:c>
      <x:c r="B12" s="68" t="s">
        <x:v>272</x:v>
      </x:c>
      <x:c r="C12" s="69" t="s">
        <x:v>47</x:v>
      </x:c>
      <x:c r="D12" s="69" t="s">
        <x:v>48</x:v>
      </x:c>
      <x:c r="E12" s="69" t="s">
        <x:v>79</x:v>
      </x:c>
      <x:c r="F12" s="69" t="s">
        <x:v>95</x:v>
      </x:c>
      <x:c r="G12" s="69" t="s">
        <x:v>96</x:v>
      </x:c>
      <x:c r="H12" s="70" t="s">
        <x:v>23</x:v>
      </x:c>
      <x:c r="I12" s="71">
        <x:v>1</x:v>
      </x:c>
      <x:c r="J12" s="71">
        <x:v>60</x:v>
      </x:c>
      <x:c r="K12" s="72">
        <x:v>1</x:v>
      </x:c>
      <x:c r="L12" s="82">
        <x:v>30</x:v>
      </x:c>
      <x:c r="M12" s="83">
        <x:v>30</x:v>
      </x:c>
      <x:c r="N12" s="33" t="s">
        <x:v>314</x:v>
      </x:c>
      <x:c r="O12" s="33" t="s">
        <x:v>315</x:v>
      </x:c>
      <x:c r="P12" s="33" t="s">
        <x:v>316</x:v>
      </x:c>
    </x:row>
    <x:row r="13" ht="38.599998474121094">
      <x:c r="A13" s="75" t="s">
        <x:v>318</x:v>
      </x:c>
      <x:c r="B13" s="75" t="s">
        <x:v>272</x:v>
      </x:c>
      <x:c r="C13" s="76" t="s">
        <x:v>47</x:v>
      </x:c>
      <x:c r="D13" s="76" t="s">
        <x:v>48</x:v>
      </x:c>
      <x:c r="E13" s="76" t="s">
        <x:v>99</x:v>
      </x:c>
      <x:c r="F13" s="76" t="s">
        <x:v>100</x:v>
      </x:c>
      <x:c r="G13" s="76" t="s">
        <x:v>101</x:v>
      </x:c>
      <x:c r="H13" s="70" t="s">
        <x:v>23</x:v>
      </x:c>
      <x:c r="I13" s="71">
        <x:v>1</x:v>
      </x:c>
      <x:c r="J13" s="71">
        <x:v>30</x:v>
      </x:c>
      <x:c r="K13" s="72">
        <x:v>0.5</x:v>
      </x:c>
      <x:c r="L13" s="82">
        <x:v>30</x:v>
      </x:c>
      <x:c r="M13" s="83">
        <x:v>15</x:v>
      </x:c>
      <x:c r="N13" s="33" t="s">
        <x:v>314</x:v>
      </x:c>
      <x:c r="O13" s="33" t="s">
        <x:v>315</x:v>
      </x:c>
      <x:c r="P13" s="33" t="s">
        <x:v>316</x:v>
      </x:c>
    </x:row>
    <x:row r="14" ht="38.599998474121094">
      <x:c r="A14" s="68" t="s">
        <x:v>319</x:v>
      </x:c>
      <x:c r="B14" s="68" t="s">
        <x:v>272</x:v>
      </x:c>
      <x:c r="C14" s="69" t="s">
        <x:v>47</x:v>
      </x:c>
      <x:c r="D14" s="69" t="s">
        <x:v>48</x:v>
      </x:c>
      <x:c r="E14" s="69" t="s">
        <x:v>99</x:v>
      </x:c>
      <x:c r="F14" s="69" t="s">
        <x:v>105</x:v>
      </x:c>
      <x:c r="G14" s="69" t="s">
        <x:v>106</x:v>
      </x:c>
      <x:c r="H14" s="70" t="s">
        <x:v>23</x:v>
      </x:c>
      <x:c r="I14" s="71">
        <x:v>1</x:v>
      </x:c>
      <x:c r="J14" s="71">
        <x:v>30</x:v>
      </x:c>
      <x:c r="K14" s="72">
        <x:v>0.5</x:v>
      </x:c>
      <x:c r="L14" s="82">
        <x:v>30</x:v>
      </x:c>
      <x:c r="M14" s="83">
        <x:v>15</x:v>
      </x:c>
      <x:c r="N14" s="33" t="s">
        <x:v>314</x:v>
      </x:c>
      <x:c r="O14" s="33" t="s">
        <x:v>315</x:v>
      </x:c>
      <x:c r="P14" s="33" t="s">
        <x:v>316</x:v>
      </x:c>
    </x:row>
    <x:row r="15" ht="38.599998474121094">
      <x:c r="A15" s="75" t="s">
        <x:v>320</x:v>
      </x:c>
      <x:c r="B15" s="75" t="s">
        <x:v>272</x:v>
      </x:c>
      <x:c r="C15" s="76" t="s">
        <x:v>47</x:v>
      </x:c>
      <x:c r="D15" s="76" t="s">
        <x:v>48</x:v>
      </x:c>
      <x:c r="E15" s="76" t="s">
        <x:v>99</x:v>
      </x:c>
      <x:c r="F15" s="76" t="s">
        <x:v>110</x:v>
      </x:c>
      <x:c r="G15" s="76" t="s">
        <x:v>111</x:v>
      </x:c>
      <x:c r="H15" s="70" t="s">
        <x:v>23</x:v>
      </x:c>
      <x:c r="I15" s="71">
        <x:v>1</x:v>
      </x:c>
      <x:c r="J15" s="71">
        <x:v>60</x:v>
      </x:c>
      <x:c r="K15" s="72">
        <x:v>1</x:v>
      </x:c>
      <x:c r="L15" s="82">
        <x:v>30</x:v>
      </x:c>
      <x:c r="M15" s="83">
        <x:v>30</x:v>
      </x:c>
      <x:c r="N15" s="33" t="s">
        <x:v>314</x:v>
      </x:c>
      <x:c r="O15" s="33" t="s">
        <x:v>315</x:v>
      </x:c>
      <x:c r="P15" s="33" t="s">
        <x:v>316</x:v>
      </x:c>
    </x:row>
    <x:row r="16" ht="38.599998474121094">
      <x:c r="A16" s="68" t="s">
        <x:v>321</x:v>
      </x:c>
      <x:c r="B16" s="68" t="s">
        <x:v>272</x:v>
      </x:c>
      <x:c r="C16" s="69" t="s">
        <x:v>47</x:v>
      </x:c>
      <x:c r="D16" s="69" t="s">
        <x:v>48</x:v>
      </x:c>
      <x:c r="E16" s="69" t="s">
        <x:v>99</x:v>
      </x:c>
      <x:c r="F16" s="69" t="s">
        <x:v>115</x:v>
      </x:c>
      <x:c r="G16" s="69" t="s">
        <x:v>116</x:v>
      </x:c>
      <x:c r="H16" s="70" t="s">
        <x:v>23</x:v>
      </x:c>
      <x:c r="I16" s="71">
        <x:v>1</x:v>
      </x:c>
      <x:c r="J16" s="71">
        <x:v>30</x:v>
      </x:c>
      <x:c r="K16" s="72">
        <x:v>0.5</x:v>
      </x:c>
      <x:c r="L16" s="82">
        <x:v>30</x:v>
      </x:c>
      <x:c r="M16" s="83">
        <x:v>15</x:v>
      </x:c>
      <x:c r="N16" s="33" t="s">
        <x:v>314</x:v>
      </x:c>
      <x:c r="O16" s="33" t="s">
        <x:v>315</x:v>
      </x:c>
      <x:c r="P16" s="33" t="s">
        <x:v>316</x:v>
      </x:c>
    </x:row>
    <x:row r="17" ht="38.599998474121094">
      <x:c r="A17" s="75" t="s">
        <x:v>322</x:v>
      </x:c>
      <x:c r="B17" s="75" t="s">
        <x:v>272</x:v>
      </x:c>
      <x:c r="C17" s="76" t="s">
        <x:v>47</x:v>
      </x:c>
      <x:c r="D17" s="76" t="s">
        <x:v>48</x:v>
      </x:c>
      <x:c r="E17" s="76" t="s">
        <x:v>99</x:v>
      </x:c>
      <x:c r="F17" s="76" t="s">
        <x:v>120</x:v>
      </x:c>
      <x:c r="G17" s="76" t="s">
        <x:v>121</x:v>
      </x:c>
      <x:c r="H17" s="70" t="s">
        <x:v>23</x:v>
      </x:c>
      <x:c r="I17" s="71">
        <x:v>1</x:v>
      </x:c>
      <x:c r="J17" s="71">
        <x:v>30</x:v>
      </x:c>
      <x:c r="K17" s="72">
        <x:v>0.5</x:v>
      </x:c>
      <x:c r="L17" s="82">
        <x:v>30</x:v>
      </x:c>
      <x:c r="M17" s="83">
        <x:v>15</x:v>
      </x:c>
      <x:c r="N17" s="33" t="s">
        <x:v>314</x:v>
      </x:c>
      <x:c r="O17" s="33" t="s">
        <x:v>315</x:v>
      </x:c>
      <x:c r="P17" s="33" t="s">
        <x:v>316</x:v>
      </x:c>
    </x:row>
    <x:row r="18" ht="38.599998474121094">
      <x:c r="A18" s="68" t="s">
        <x:v>323</x:v>
      </x:c>
      <x:c r="B18" s="68" t="s">
        <x:v>272</x:v>
      </x:c>
      <x:c r="C18" s="69" t="s">
        <x:v>47</x:v>
      </x:c>
      <x:c r="D18" s="69" t="s">
        <x:v>48</x:v>
      </x:c>
      <x:c r="E18" s="69" t="s">
        <x:v>99</x:v>
      </x:c>
      <x:c r="F18" s="69" t="s">
        <x:v>125</x:v>
      </x:c>
      <x:c r="G18" s="69" t="s">
        <x:v>126</x:v>
      </x:c>
      <x:c r="H18" s="70" t="s">
        <x:v>23</x:v>
      </x:c>
      <x:c r="I18" s="71">
        <x:v>1</x:v>
      </x:c>
      <x:c r="J18" s="71">
        <x:v>30</x:v>
      </x:c>
      <x:c r="K18" s="72">
        <x:v>0.5</x:v>
      </x:c>
      <x:c r="L18" s="82">
        <x:v>30</x:v>
      </x:c>
      <x:c r="M18" s="83">
        <x:v>15</x:v>
      </x:c>
      <x:c r="N18" s="33" t="s">
        <x:v>314</x:v>
      </x:c>
      <x:c r="O18" s="33" t="s">
        <x:v>315</x:v>
      </x:c>
      <x:c r="P18" s="33" t="s">
        <x:v>316</x:v>
      </x:c>
    </x:row>
    <x:row r="19" ht="51.45000076293945">
      <x:c r="A19" s="75" t="s">
        <x:v>324</x:v>
      </x:c>
      <x:c r="B19" s="75" t="s">
        <x:v>272</x:v>
      </x:c>
      <x:c r="C19" s="76" t="s">
        <x:v>47</x:v>
      </x:c>
      <x:c r="D19" s="76" t="s">
        <x:v>48</x:v>
      </x:c>
      <x:c r="E19" s="76" t="s">
        <x:v>130</x:v>
      </x:c>
      <x:c r="F19" s="76" t="s">
        <x:v>131</x:v>
      </x:c>
      <x:c r="G19" s="76" t="s">
        <x:v>132</x:v>
      </x:c>
      <x:c r="H19" s="70" t="s">
        <x:v>133</x:v>
      </x:c>
      <x:c r="I19" s="71">
        <x:v>1</x:v>
      </x:c>
      <x:c r="J19" s="71">
        <x:v>30</x:v>
      </x:c>
      <x:c r="K19" s="72">
        <x:v>0.5</x:v>
      </x:c>
      <x:c r="L19" s="82">
        <x:v>30</x:v>
      </x:c>
      <x:c r="M19" s="83">
        <x:v>15</x:v>
      </x:c>
      <x:c r="N19" s="33" t="s">
        <x:v>283</x:v>
      </x:c>
      <x:c r="O19" s="33" t="s">
        <x:v>311</x:v>
      </x:c>
      <x:c r="P19" s="33" t="s">
        <x:v>312</x:v>
      </x:c>
    </x:row>
    <x:row r="20" ht="51.45000076293945">
      <x:c r="A20" s="68" t="s">
        <x:v>325</x:v>
      </x:c>
      <x:c r="B20" s="68" t="s">
        <x:v>272</x:v>
      </x:c>
      <x:c r="C20" s="69" t="s">
        <x:v>47</x:v>
      </x:c>
      <x:c r="D20" s="69" t="s">
        <x:v>48</x:v>
      </x:c>
      <x:c r="E20" s="69" t="s">
        <x:v>130</x:v>
      </x:c>
      <x:c r="F20" s="69" t="s">
        <x:v>136</x:v>
      </x:c>
      <x:c r="G20" s="69" t="s">
        <x:v>137</x:v>
      </x:c>
      <x:c r="H20" s="70" t="s">
        <x:v>133</x:v>
      </x:c>
      <x:c r="I20" s="71">
        <x:v>1</x:v>
      </x:c>
      <x:c r="J20" s="71">
        <x:v>30</x:v>
      </x:c>
      <x:c r="K20" s="72">
        <x:v>0.5</x:v>
      </x:c>
      <x:c r="L20" s="82">
        <x:v>30</x:v>
      </x:c>
      <x:c r="M20" s="83">
        <x:v>15</x:v>
      </x:c>
      <x:c r="N20" s="33" t="s">
        <x:v>283</x:v>
      </x:c>
      <x:c r="O20" s="33" t="s">
        <x:v>311</x:v>
      </x:c>
      <x:c r="P20" s="33" t="s">
        <x:v>312</x:v>
      </x:c>
    </x:row>
    <x:row r="21" ht="64.30000305175781">
      <x:c r="A21" s="75" t="s">
        <x:v>326</x:v>
      </x:c>
      <x:c r="B21" s="75" t="s">
        <x:v>272</x:v>
      </x:c>
      <x:c r="C21" s="76" t="s">
        <x:v>47</x:v>
      </x:c>
      <x:c r="D21" s="76" t="s">
        <x:v>55</x:v>
      </x:c>
      <x:c r="E21" s="76" t="s">
        <x:v>220</x:v>
      </x:c>
      <x:c r="F21" s="76" t="s">
        <x:v>327</x:v>
      </x:c>
      <x:c r="G21" s="76" t="s">
        <x:v>328</x:v>
      </x:c>
      <x:c r="H21" s="70" t="s">
        <x:v>223</x:v>
      </x:c>
      <x:c r="I21" s="71">
        <x:v>1</x:v>
      </x:c>
      <x:c r="J21" s="71">
        <x:v>120</x:v>
      </x:c>
      <x:c r="K21" s="72">
        <x:v>2</x:v>
      </x:c>
      <x:c r="L21" s="82">
        <x:v>25</x:v>
      </x:c>
      <x:c r="M21" s="83">
        <x:v>50</x:v>
      </x:c>
      <x:c r="N21" s="33" t="s">
        <x:v>304</x:v>
      </x:c>
      <x:c r="O21" s="33" t="s">
        <x:v>329</x:v>
      </x:c>
      <x:c r="P21" s="33" t="s">
        <x:v>330</x:v>
      </x:c>
    </x:row>
    <x:row r="22" ht="51.45000076293945">
      <x:c r="A22" s="68" t="s">
        <x:v>331</x:v>
      </x:c>
      <x:c r="B22" s="68" t="s">
        <x:v>272</x:v>
      </x:c>
      <x:c r="C22" s="69" t="s">
        <x:v>47</x:v>
      </x:c>
      <x:c r="D22" s="69" t="s">
        <x:v>48</x:v>
      </x:c>
      <x:c r="E22" s="69" t="s">
        <x:v>141</x:v>
      </x:c>
      <x:c r="F22" s="69" t="s">
        <x:v>142</x:v>
      </x:c>
      <x:c r="G22" s="69" t="s">
        <x:v>143</x:v>
      </x:c>
      <x:c r="H22" s="70" t="s">
        <x:v>23</x:v>
      </x:c>
      <x:c r="I22" s="71">
        <x:v>1</x:v>
      </x:c>
      <x:c r="J22" s="71">
        <x:v>30</x:v>
      </x:c>
      <x:c r="K22" s="72">
        <x:v>0.5</x:v>
      </x:c>
      <x:c r="L22" s="82">
        <x:v>30</x:v>
      </x:c>
      <x:c r="M22" s="83">
        <x:v>15</x:v>
      </x:c>
      <x:c r="N22" s="33" t="s">
        <x:v>283</x:v>
      </x:c>
      <x:c r="O22" s="33" t="s">
        <x:v>332</x:v>
      </x:c>
      <x:c r="P22" s="33" t="s">
        <x:v>333</x:v>
      </x:c>
    </x:row>
    <x:row r="23" ht="51.45000076293945">
      <x:c r="A23" s="75" t="s">
        <x:v>334</x:v>
      </x:c>
      <x:c r="B23" s="75" t="s">
        <x:v>272</x:v>
      </x:c>
      <x:c r="C23" s="76" t="s">
        <x:v>47</x:v>
      </x:c>
      <x:c r="D23" s="76" t="s">
        <x:v>48</x:v>
      </x:c>
      <x:c r="E23" s="76" t="s">
        <x:v>141</x:v>
      </x:c>
      <x:c r="F23" s="76" t="s">
        <x:v>147</x:v>
      </x:c>
      <x:c r="G23" s="76" t="s">
        <x:v>148</x:v>
      </x:c>
      <x:c r="H23" s="70" t="s">
        <x:v>23</x:v>
      </x:c>
      <x:c r="I23" s="71">
        <x:v>1</x:v>
      </x:c>
      <x:c r="J23" s="71">
        <x:v>90</x:v>
      </x:c>
      <x:c r="K23" s="72">
        <x:v>1.5</x:v>
      </x:c>
      <x:c r="L23" s="82">
        <x:v>30</x:v>
      </x:c>
      <x:c r="M23" s="83">
        <x:v>45</x:v>
      </x:c>
      <x:c r="N23" s="33" t="s">
        <x:v>283</x:v>
      </x:c>
      <x:c r="O23" s="33" t="s">
        <x:v>335</x:v>
      </x:c>
      <x:c r="P23" s="33" t="s">
        <x:v>336</x:v>
      </x:c>
    </x:row>
    <x:row r="24" ht="51.45000076293945">
      <x:c r="A24" s="68" t="s">
        <x:v>337</x:v>
      </x:c>
      <x:c r="B24" s="68" t="s">
        <x:v>272</x:v>
      </x:c>
      <x:c r="C24" s="69" t="s">
        <x:v>47</x:v>
      </x:c>
      <x:c r="D24" s="69" t="s">
        <x:v>48</x:v>
      </x:c>
      <x:c r="E24" s="69" t="s">
        <x:v>141</x:v>
      </x:c>
      <x:c r="F24" s="69" t="s">
        <x:v>152</x:v>
      </x:c>
      <x:c r="G24" s="69" t="s">
        <x:v>153</x:v>
      </x:c>
      <x:c r="H24" s="70" t="s">
        <x:v>23</x:v>
      </x:c>
      <x:c r="I24" s="71">
        <x:v>1</x:v>
      </x:c>
      <x:c r="J24" s="71">
        <x:v>30</x:v>
      </x:c>
      <x:c r="K24" s="72">
        <x:v>0.5</x:v>
      </x:c>
      <x:c r="L24" s="82">
        <x:v>30</x:v>
      </x:c>
      <x:c r="M24" s="83">
        <x:v>15</x:v>
      </x:c>
      <x:c r="N24" s="33" t="s">
        <x:v>283</x:v>
      </x:c>
      <x:c r="O24" s="33" t="s">
        <x:v>332</x:v>
      </x:c>
      <x:c r="P24" s="33" t="s">
        <x:v>338</x:v>
      </x:c>
    </x:row>
    <x:row r="25" ht="51.45000076293945">
      <x:c r="A25" s="75" t="s">
        <x:v>339</x:v>
      </x:c>
      <x:c r="B25" s="75" t="s">
        <x:v>272</x:v>
      </x:c>
      <x:c r="C25" s="76" t="s">
        <x:v>47</x:v>
      </x:c>
      <x:c r="D25" s="76" t="s">
        <x:v>48</x:v>
      </x:c>
      <x:c r="E25" s="76" t="s">
        <x:v>156</x:v>
      </x:c>
      <x:c r="F25" s="76" t="s">
        <x:v>340</x:v>
      </x:c>
      <x:c r="G25" s="76" t="s">
        <x:v>341</x:v>
      </x:c>
      <x:c r="H25" s="70" t="s">
        <x:v>159</x:v>
      </x:c>
      <x:c r="I25" s="71">
        <x:v>1</x:v>
      </x:c>
      <x:c r="J25" s="71">
        <x:v>240</x:v>
      </x:c>
      <x:c r="K25" s="72">
        <x:v>4</x:v>
      </x:c>
      <x:c r="L25" s="82">
        <x:v>30</x:v>
      </x:c>
      <x:c r="M25" s="83">
        <x:v>120</x:v>
      </x:c>
      <x:c r="N25" s="33" t="s">
        <x:v>342</x:v>
      </x:c>
      <x:c r="O25" s="33" t="s">
        <x:v>343</x:v>
      </x:c>
      <x:c r="P25" s="33" t="s">
        <x:v>344</x:v>
      </x:c>
    </x:row>
    <x:row r="26" ht="51.45000076293945">
      <x:c r="A26" s="68" t="s">
        <x:v>345</x:v>
      </x:c>
      <x:c r="B26" s="68" t="s">
        <x:v>272</x:v>
      </x:c>
      <x:c r="C26" s="69" t="s">
        <x:v>163</x:v>
      </x:c>
      <x:c r="D26" s="69" t="s">
        <x:v>164</x:v>
      </x:c>
      <x:c r="E26" s="69" t="s">
        <x:v>165</x:v>
      </x:c>
      <x:c r="F26" s="69" t="s">
        <x:v>346</x:v>
      </x:c>
      <x:c r="G26" s="69" t="s">
        <x:v>347</x:v>
      </x:c>
      <x:c r="H26" s="70" t="s">
        <x:v>23</x:v>
      </x:c>
      <x:c r="I26" s="71">
        <x:v>1</x:v>
      </x:c>
      <x:c r="J26" s="71">
        <x:v>240</x:v>
      </x:c>
      <x:c r="K26" s="72">
        <x:v>4</x:v>
      </x:c>
      <x:c r="L26" s="82">
        <x:v>30</x:v>
      </x:c>
      <x:c r="M26" s="83">
        <x:v>120</x:v>
      </x:c>
      <x:c r="N26" s="33" t="s">
        <x:v>283</x:v>
      </x:c>
      <x:c r="O26" s="33" t="s">
        <x:v>348</x:v>
      </x:c>
      <x:c r="P26" s="33" t="s">
        <x:v>349</x:v>
      </x:c>
    </x:row>
    <x:row r="27" ht="51.45000076293945">
      <x:c r="A27" s="75" t="s">
        <x:v>350</x:v>
      </x:c>
      <x:c r="B27" s="75" t="s">
        <x:v>272</x:v>
      </x:c>
      <x:c r="C27" s="76" t="s">
        <x:v>163</x:v>
      </x:c>
      <x:c r="D27" s="76" t="s">
        <x:v>164</x:v>
      </x:c>
      <x:c r="E27" s="76" t="s">
        <x:v>28</x:v>
      </x:c>
      <x:c r="F27" s="76" t="s">
        <x:v>351</x:v>
      </x:c>
      <x:c r="G27" s="76" t="s">
        <x:v>352</x:v>
      </x:c>
      <x:c r="H27" s="70" t="s">
        <x:v>353</x:v>
      </x:c>
      <x:c r="I27" s="71">
        <x:v>1</x:v>
      </x:c>
      <x:c r="J27" s="71">
        <x:v>240</x:v>
      </x:c>
      <x:c r="K27" s="72">
        <x:v>4</x:v>
      </x:c>
      <x:c r="L27" s="82">
        <x:v>30</x:v>
      </x:c>
      <x:c r="M27" s="83">
        <x:v>120</x:v>
      </x:c>
      <x:c r="N27" s="33" t="s">
        <x:v>354</x:v>
      </x:c>
      <x:c r="O27" s="33" t="s">
        <x:v>355</x:v>
      </x:c>
      <x:c r="P27" s="33" t="s">
        <x:v>356</x:v>
      </x:c>
    </x:row>
    <x:row r="28" ht="38.599998474121094">
      <x:c r="A28" s="68" t="s">
        <x:v>357</x:v>
      </x:c>
      <x:c r="B28" s="68" t="s">
        <x:v>272</x:v>
      </x:c>
      <x:c r="C28" s="69" t="s">
        <x:v>47</x:v>
      </x:c>
      <x:c r="D28" s="69" t="s">
        <x:v>48</x:v>
      </x:c>
      <x:c r="E28" s="69" t="s">
        <x:v>184</x:v>
      </x:c>
      <x:c r="F28" s="69" t="s">
        <x:v>358</x:v>
      </x:c>
      <x:c r="G28" s="69" t="s">
        <x:v>359</x:v>
      </x:c>
      <x:c r="H28" s="70" t="s">
        <x:v>360</x:v>
      </x:c>
      <x:c r="I28" s="71">
        <x:v>1</x:v>
      </x:c>
      <x:c r="J28" s="71">
        <x:v>15</x:v>
      </x:c>
      <x:c r="K28" s="72">
        <x:v>0.25</x:v>
      </x:c>
      <x:c r="L28" s="82">
        <x:v>30</x:v>
      </x:c>
      <x:c r="M28" s="83">
        <x:v>7.5</x:v>
      </x:c>
      <x:c r="N28" s="33" t="s">
        <x:v>314</x:v>
      </x:c>
      <x:c r="O28" s="33" t="s">
        <x:v>361</x:v>
      </x:c>
      <x:c r="P28" s="33" t="s">
        <x:v>362</x:v>
      </x:c>
    </x:row>
    <x:row r="29" ht="2.049999952316284" customHeight="1">
      <x:c r="A29" s="77" t="s">
        <x:v>363</x:v>
      </x:c>
      <x:c r="B29" s="77" t="s">
        <x:v>272</x:v>
      </x:c>
      <x:c r="C29" s="77" t="s">
        <x:v>47</x:v>
      </x:c>
      <x:c r="D29" s="77" t="s">
        <x:v>48</x:v>
      </x:c>
      <x:c r="E29" s="77" t="s">
        <x:v>192</x:v>
      </x:c>
      <x:c r="F29" s="77" t="s">
        <x:v>364</x:v>
      </x:c>
      <x:c r="G29" s="77" t="s">
        <x:v>365</x:v>
      </x:c>
      <x:c r="H29" s="78" t="s">
        <x:v>366</x:v>
      </x:c>
      <x:c r="I29" s="79">
        <x:v>1</x:v>
      </x:c>
      <x:c r="J29" s="79">
        <x:v>30</x:v>
      </x:c>
      <x:c r="K29" s="80">
        <x:v>0.5</x:v>
      </x:c>
      <x:c r="L29" s="79">
        <x:v>30</x:v>
      </x:c>
      <x:c r="M29" s="80">
        <x:v>15</x:v>
      </x:c>
      <x:c r="N29" s="81" t="s">
        <x:v>367</x:v>
      </x:c>
      <x:c r="O29" s="81" t="s">
        <x:v>368</x:v>
      </x:c>
      <x:c r="P29" s="81" t="s">
        <x:v>369</x:v>
      </x:c>
    </x:row>
    <x:row r="30" ht="2.049999952316284" customHeight="1">
      <x:c r="A30" s="77" t="s">
        <x:v>370</x:v>
      </x:c>
      <x:c r="B30" s="77" t="s">
        <x:v>272</x:v>
      </x:c>
      <x:c r="C30" s="77" t="s">
        <x:v>47</x:v>
      </x:c>
      <x:c r="D30" s="77" t="s">
        <x:v>48</x:v>
      </x:c>
      <x:c r="E30" s="77" t="s">
        <x:v>192</x:v>
      </x:c>
      <x:c r="F30" s="77" t="s">
        <x:v>371</x:v>
      </x:c>
      <x:c r="G30" s="77" t="s">
        <x:v>372</x:v>
      </x:c>
      <x:c r="H30" s="78" t="s">
        <x:v>179</x:v>
      </x:c>
      <x:c r="I30" s="79">
        <x:v>1</x:v>
      </x:c>
      <x:c r="J30" s="79">
        <x:v>60</x:v>
      </x:c>
      <x:c r="K30" s="80">
        <x:v>1</x:v>
      </x:c>
      <x:c r="L30" s="79">
        <x:v>30</x:v>
      </x:c>
      <x:c r="M30" s="80">
        <x:v>30</x:v>
      </x:c>
      <x:c r="N30" s="81" t="s">
        <x:v>367</x:v>
      </x:c>
      <x:c r="O30" s="81" t="s">
        <x:v>373</x:v>
      </x:c>
      <x:c r="P30" s="81" t="s">
        <x:v>374</x:v>
      </x:c>
    </x:row>
    <x:row r="31" ht="2.049999952316284" customHeight="1">
      <x:c r="A31" s="77" t="s">
        <x:v>375</x:v>
      </x:c>
      <x:c r="B31" s="77" t="s">
        <x:v>272</x:v>
      </x:c>
      <x:c r="C31" s="77" t="s">
        <x:v>47</x:v>
      </x:c>
      <x:c r="D31" s="77" t="s">
        <x:v>48</x:v>
      </x:c>
      <x:c r="E31" s="77" t="s">
        <x:v>79</x:v>
      </x:c>
      <x:c r="F31" s="77" t="s">
        <x:v>376</x:v>
      </x:c>
      <x:c r="G31" s="77" t="s">
        <x:v>377</x:v>
      </x:c>
      <x:c r="H31" s="78" t="s">
        <x:v>179</x:v>
      </x:c>
      <x:c r="I31" s="79">
        <x:v>1</x:v>
      </x:c>
      <x:c r="J31" s="79">
        <x:v>30</x:v>
      </x:c>
      <x:c r="K31" s="80">
        <x:v>0.5</x:v>
      </x:c>
      <x:c r="L31" s="79">
        <x:v>30</x:v>
      </x:c>
      <x:c r="M31" s="80">
        <x:v>15</x:v>
      </x:c>
      <x:c r="N31" s="81" t="s">
        <x:v>378</x:v>
      </x:c>
      <x:c r="O31" s="81" t="s">
        <x:v>379</x:v>
      </x:c>
      <x:c r="P31" s="81" t="s">
        <x:v>380</x:v>
      </x:c>
    </x:row>
    <x:row r="32" ht="2.049999952316284" customHeight="1">
      <x:c r="A32" s="77" t="s">
        <x:v>381</x:v>
      </x:c>
      <x:c r="B32" s="77" t="s">
        <x:v>272</x:v>
      </x:c>
      <x:c r="C32" s="77" t="s">
        <x:v>47</x:v>
      </x:c>
      <x:c r="D32" s="77" t="s">
        <x:v>48</x:v>
      </x:c>
      <x:c r="E32" s="77" t="s">
        <x:v>184</x:v>
      </x:c>
      <x:c r="F32" s="77" t="s">
        <x:v>382</x:v>
      </x:c>
      <x:c r="G32" s="77" t="s">
        <x:v>383</x:v>
      </x:c>
      <x:c r="H32" s="78" t="s">
        <x:v>384</x:v>
      </x:c>
      <x:c r="I32" s="79">
        <x:v>1</x:v>
      </x:c>
      <x:c r="J32" s="79">
        <x:v>30</x:v>
      </x:c>
      <x:c r="K32" s="80">
        <x:v>0.5</x:v>
      </x:c>
      <x:c r="L32" s="79">
        <x:v>30</x:v>
      </x:c>
      <x:c r="M32" s="80">
        <x:v>15</x:v>
      </x:c>
      <x:c r="N32" s="81" t="s">
        <x:v>378</x:v>
      </x:c>
      <x:c r="O32" s="81" t="s">
        <x:v>385</x:v>
      </x:c>
      <x:c r="P32" s="81" t="s">
        <x:v>386</x:v>
      </x:c>
    </x:row>
    <x:row r="33" ht="2.049999952316284" customHeight="1">
      <x:c r="A33" s="77" t="s">
        <x:v>387</x:v>
      </x:c>
      <x:c r="B33" s="77" t="s">
        <x:v>272</x:v>
      </x:c>
      <x:c r="C33" s="77" t="s">
        <x:v>47</x:v>
      </x:c>
      <x:c r="D33" s="77" t="s">
        <x:v>48</x:v>
      </x:c>
      <x:c r="E33" s="77" t="s">
        <x:v>141</x:v>
      </x:c>
      <x:c r="F33" s="77" t="s">
        <x:v>388</x:v>
      </x:c>
      <x:c r="G33" s="77" t="s">
        <x:v>389</x:v>
      </x:c>
      <x:c r="H33" s="78" t="s">
        <x:v>133</x:v>
      </x:c>
      <x:c r="I33" s="79">
        <x:v>1</x:v>
      </x:c>
      <x:c r="J33" s="79">
        <x:v>30</x:v>
      </x:c>
      <x:c r="K33" s="80">
        <x:v>0.5</x:v>
      </x:c>
      <x:c r="L33" s="79">
        <x:v>30</x:v>
      </x:c>
      <x:c r="M33" s="80">
        <x:v>15</x:v>
      </x:c>
      <x:c r="N33" s="81" t="s">
        <x:v>314</x:v>
      </x:c>
      <x:c r="O33" s="81" t="s">
        <x:v>390</x:v>
      </x:c>
      <x:c r="P33" s="81" t="s">
        <x:v>391</x:v>
      </x:c>
    </x:row>
    <x:row r="34" ht="2.049999952316284" customHeight="1">
      <x:c r="A34" s="77" t="s">
        <x:v>392</x:v>
      </x:c>
      <x:c r="B34" s="77" t="s">
        <x:v>272</x:v>
      </x:c>
      <x:c r="C34" s="77" t="s">
        <x:v>18</x:v>
      </x:c>
      <x:c r="D34" s="77" t="s">
        <x:v>19</x:v>
      </x:c>
      <x:c r="E34" s="77" t="s">
        <x:v>176</x:v>
      </x:c>
      <x:c r="F34" s="77" t="s">
        <x:v>393</x:v>
      </x:c>
      <x:c r="G34" s="77" t="s">
        <x:v>394</x:v>
      </x:c>
      <x:c r="H34" s="78" t="s">
        <x:v>179</x:v>
      </x:c>
      <x:c r="I34" s="79">
        <x:v>1</x:v>
      </x:c>
      <x:c r="J34" s="79">
        <x:v>30</x:v>
      </x:c>
      <x:c r="K34" s="80">
        <x:v>0.5</x:v>
      </x:c>
      <x:c r="L34" s="79">
        <x:v>50</x:v>
      </x:c>
      <x:c r="M34" s="80">
        <x:v>25</x:v>
      </x:c>
      <x:c r="N34" s="81" t="s">
        <x:v>283</x:v>
      </x:c>
      <x:c r="O34" s="81" t="s">
        <x:v>395</x:v>
      </x:c>
      <x:c r="P34" s="81" t="s">
        <x:v>396</x:v>
      </x:c>
    </x:row>
    <x:row r="35" ht="42.45000076293945">
      <x:c r="A35" s="34" t="s">
        <x:v>397</x:v>
      </x:c>
      <x:c r="B35" s="34" t="s">
        <x:v>272</x:v>
      </x:c>
      <x:c r="C35" s="34" t="s">
        <x:v>18</x:v>
      </x:c>
      <x:c r="D35" s="34" t="s">
        <x:v>19</x:v>
      </x:c>
      <x:c r="E35" s="34" t="s">
        <x:v>130</x:v>
      </x:c>
      <x:c r="F35" s="34" t="s">
        <x:v>398</x:v>
      </x:c>
      <x:c r="G35" s="34" t="s">
        <x:v>399</x:v>
      </x:c>
      <x:c r="H35" s="34" t="s">
        <x:v>133</x:v>
      </x:c>
      <x:c r="I35" s="34">
        <x:v>1</x:v>
      </x:c>
      <x:c r="J35" s="34">
        <x:v>15</x:v>
      </x:c>
      <x:c r="K35" s="34">
        <x:v>0.25</x:v>
      </x:c>
      <x:c r="L35" s="34">
        <x:v>50</x:v>
      </x:c>
      <x:c r="M35" s="34">
        <x:v>12.5</x:v>
      </x:c>
      <x:c r="N35" s="34" t="s">
        <x:v>314</x:v>
      </x:c>
      <x:c r="O35" s="34" t="s">
        <x:v>400</x:v>
      </x:c>
      <x:c r="P35" s="34" t="s">
        <x:v>401</x:v>
      </x:c>
    </x:row>
    <x:row r="36" ht="42.45000076293945">
      <x:c r="A36" s="34" t="s">
        <x:v>402</x:v>
      </x:c>
      <x:c r="B36" s="34" t="s">
        <x:v>272</x:v>
      </x:c>
      <x:c r="C36" s="34" t="s">
        <x:v>47</x:v>
      </x:c>
      <x:c r="D36" s="34" t="s">
        <x:v>48</x:v>
      </x:c>
      <x:c r="E36" s="34" t="s">
        <x:v>20</x:v>
      </x:c>
      <x:c r="F36" s="34" t="s">
        <x:v>239</x:v>
      </x:c>
      <x:c r="G36" s="34" t="s">
        <x:v>403</x:v>
      </x:c>
      <x:c r="H36" s="34" t="s">
        <x:v>23</x:v>
      </x:c>
      <x:c r="I36" s="34">
        <x:v>1</x:v>
      </x:c>
      <x:c r="J36" s="34">
        <x:v>30</x:v>
      </x:c>
      <x:c r="K36" s="34">
        <x:v>0.5</x:v>
      </x:c>
      <x:c r="L36" s="34">
        <x:v>50</x:v>
      </x:c>
      <x:c r="M36" s="34">
        <x:v>25</x:v>
      </x:c>
      <x:c r="N36" s="34" t="s">
        <x:v>283</x:v>
      </x:c>
      <x:c r="O36" s="34" t="s">
        <x:v>404</x:v>
      </x:c>
      <x:c r="P36" s="34" t="s">
        <x:v>405</x:v>
      </x:c>
    </x:row>
    <x:row r="37" ht="28.299999237060547">
      <x:c r="A37" s="34" t="s">
        <x:v>406</x:v>
      </x:c>
      <x:c r="B37" s="34" t="s">
        <x:v>272</x:v>
      </x:c>
      <x:c r="C37" s="34" t="s">
        <x:v>47</x:v>
      </x:c>
      <x:c r="D37" s="34" t="s">
        <x:v>48</x:v>
      </x:c>
      <x:c r="E37" s="34" t="s">
        <x:v>156</x:v>
      </x:c>
      <x:c r="F37" s="34" t="s">
        <x:v>407</x:v>
      </x:c>
      <x:c r="G37" s="34" t="s">
        <x:v>408</x:v>
      </x:c>
      <x:c r="H37" s="34" t="s">
        <x:v>179</x:v>
      </x:c>
      <x:c r="I37" s="34">
        <x:v>1</x:v>
      </x:c>
      <x:c r="J37" s="34">
        <x:v>60</x:v>
      </x:c>
      <x:c r="K37" s="34">
        <x:v>1</x:v>
      </x:c>
      <x:c r="L37" s="34">
        <x:v>30</x:v>
      </x:c>
      <x:c r="M37" s="34">
        <x:v>30</x:v>
      </x:c>
      <x:c r="N37" s="34" t="s">
        <x:v>314</x:v>
      </x:c>
      <x:c r="O37" s="34" t="s">
        <x:v>409</x:v>
      </x:c>
      <x:c r="P37" s="34" t="s">
        <x:v>410</x:v>
      </x:c>
    </x:row>
    <x:row r="38" ht="42.45000076293945">
      <x:c r="A38" s="34" t="s">
        <x:v>411</x:v>
      </x:c>
      <x:c r="B38" s="34" t="s">
        <x:v>272</x:v>
      </x:c>
      <x:c r="C38" s="34" t="s">
        <x:v>163</x:v>
      </x:c>
      <x:c r="D38" s="34" t="s">
        <x:v>164</x:v>
      </x:c>
      <x:c r="E38" s="34" t="s">
        <x:v>165</x:v>
      </x:c>
      <x:c r="F38" s="34" t="s">
        <x:v>249</x:v>
      </x:c>
      <x:c r="G38" s="34" t="s">
        <x:v>250</x:v>
      </x:c>
      <x:c r="H38" s="34" t="s">
        <x:v>179</x:v>
      </x:c>
      <x:c r="I38" s="34">
        <x:v>1</x:v>
      </x:c>
      <x:c r="J38" s="34">
        <x:v>30</x:v>
      </x:c>
      <x:c r="K38" s="34">
        <x:v>0.5</x:v>
      </x:c>
      <x:c r="L38" s="34">
        <x:v>30</x:v>
      </x:c>
      <x:c r="M38" s="34">
        <x:v>15</x:v>
      </x:c>
      <x:c r="N38" s="34" t="s">
        <x:v>314</x:v>
      </x:c>
      <x:c r="O38" s="34" t="s">
        <x:v>412</x:v>
      </x:c>
      <x:c r="P38" s="34" t="s">
        <x:v>413</x:v>
      </x:c>
    </x:row>
    <x:row r="39" ht="42.45000076293945">
      <x:c r="A39" s="34" t="s">
        <x:v>414</x:v>
      </x:c>
      <x:c r="B39" s="34" t="s">
        <x:v>272</x:v>
      </x:c>
      <x:c r="C39" s="34" t="s">
        <x:v>163</x:v>
      </x:c>
      <x:c r="D39" s="34" t="s">
        <x:v>164</x:v>
      </x:c>
      <x:c r="E39" s="34" t="s">
        <x:v>28</x:v>
      </x:c>
      <x:c r="F39" s="34" t="s">
        <x:v>254</x:v>
      </x:c>
      <x:c r="G39" s="34" t="s">
        <x:v>415</x:v>
      </x:c>
      <x:c r="H39" s="34" t="s">
        <x:v>179</x:v>
      </x:c>
      <x:c r="I39" s="34">
        <x:v>1</x:v>
      </x:c>
      <x:c r="J39" s="34">
        <x:v>30</x:v>
      </x:c>
      <x:c r="K39" s="34">
        <x:v>0.5</x:v>
      </x:c>
      <x:c r="L39" s="34">
        <x:v>30</x:v>
      </x:c>
      <x:c r="M39" s="34">
        <x:v>15</x:v>
      </x:c>
      <x:c r="N39" s="34" t="s">
        <x:v>416</x:v>
      </x:c>
      <x:c r="O39" s="34" t="s">
        <x:v>417</x:v>
      </x:c>
      <x:c r="P39" s="34" t="s">
        <x:v>418</x:v>
      </x:c>
    </x:row>
    <x:row r="40" ht="28.299999237060547">
      <x:c r="A40" s="34" t="s">
        <x:v>419</x:v>
      </x:c>
      <x:c r="B40" s="34" t="s">
        <x:v>272</x:v>
      </x:c>
      <x:c r="C40" s="34" t="s">
        <x:v>47</x:v>
      </x:c>
      <x:c r="D40" s="34" t="s">
        <x:v>48</x:v>
      </x:c>
      <x:c r="E40" s="34" t="s">
        <x:v>176</x:v>
      </x:c>
      <x:c r="F40" s="34" t="s">
        <x:v>260</x:v>
      </x:c>
      <x:c r="G40" s="34" t="s">
        <x:v>261</x:v>
      </x:c>
      <x:c r="H40" s="34" t="s">
        <x:v>179</x:v>
      </x:c>
      <x:c r="I40" s="34">
        <x:v>1</x:v>
      </x:c>
      <x:c r="J40" s="34">
        <x:v>15</x:v>
      </x:c>
      <x:c r="K40" s="34">
        <x:v>0.25</x:v>
      </x:c>
      <x:c r="L40" s="34">
        <x:v>30</x:v>
      </x:c>
      <x:c r="M40" s="34">
        <x:v>7.5</x:v>
      </x:c>
      <x:c r="N40" s="34" t="s">
        <x:v>416</x:v>
      </x:c>
      <x:c r="O40" s="34" t="s">
        <x:v>417</x:v>
      </x:c>
      <x:c r="P40" s="34" t="s">
        <x:v>418</x:v>
      </x:c>
    </x:row>
    <x:row r="41" ht="42.45000076293945">
      <x:c r="A41" s="34" t="s">
        <x:v>420</x:v>
      </x:c>
      <x:c r="B41" s="34" t="s">
        <x:v>272</x:v>
      </x:c>
      <x:c r="C41" s="34" t="s">
        <x:v>264</x:v>
      </x:c>
      <x:c r="D41" s="34" t="s">
        <x:v>265</x:v>
      </x:c>
      <x:c r="E41" s="34" t="s">
        <x:v>20</x:v>
      </x:c>
      <x:c r="F41" s="34" t="s">
        <x:v>421</x:v>
      </x:c>
      <x:c r="G41" s="34" t="s">
        <x:v>422</x:v>
      </x:c>
      <x:c r="H41" s="34" t="s">
        <x:v>23</x:v>
      </x:c>
      <x:c r="I41" s="34">
        <x:v>1</x:v>
      </x:c>
      <x:c r="J41" s="34">
        <x:v>60</x:v>
      </x:c>
      <x:c r="K41" s="34">
        <x:v>1</x:v>
      </x:c>
      <x:c r="L41" s="34">
        <x:v>30</x:v>
      </x:c>
      <x:c r="M41" s="34">
        <x:v>30</x:v>
      </x:c>
      <x:c r="N41" s="34" t="s">
        <x:v>423</x:v>
      </x:c>
      <x:c r="O41" s="34" t="s">
        <x:v>424</x:v>
      </x:c>
      <x:c r="P41" s="34" t="s">
        <x:v>59</x:v>
      </x:c>
    </x:row>
    <x:row r="42" ht="56.599998474121094">
      <x:c r="A42" s="34" t="s">
        <x:v>425</x:v>
      </x:c>
      <x:c r="B42" s="34" t="s">
        <x:v>272</x:v>
      </x:c>
      <x:c r="C42" s="34" t="s">
        <x:v>47</x:v>
      </x:c>
      <x:c r="D42" s="34" t="s">
        <x:v>55</x:v>
      </x:c>
      <x:c r="E42" s="34" t="s">
        <x:v>220</x:v>
      </x:c>
      <x:c r="F42" s="34" t="s">
        <x:v>426</x:v>
      </x:c>
      <x:c r="G42" s="34" t="s">
        <x:v>427</x:v>
      </x:c>
      <x:c r="H42" s="34" t="s">
        <x:v>296</x:v>
      </x:c>
      <x:c r="I42" s="34">
        <x:v>1</x:v>
      </x:c>
      <x:c r="J42" s="34">
        <x:v>30</x:v>
      </x:c>
      <x:c r="K42" s="34">
        <x:v>0.5</x:v>
      </x:c>
      <x:c r="L42" s="34">
        <x:v>30</x:v>
      </x:c>
      <x:c r="M42" s="34">
        <x:v>15</x:v>
      </x:c>
      <x:c r="N42" s="34" t="s">
        <x:v>423</x:v>
      </x:c>
      <x:c r="O42" s="34" t="s">
        <x:v>428</x:v>
      </x:c>
      <x:c r="P42" s="34" t="s">
        <x:v>429</x:v>
      </x:c>
    </x:row>
    <x:row r="43" ht="70.75">
      <x:c r="A43" s="34" t="s">
        <x:v>430</x:v>
      </x:c>
      <x:c r="B43" s="34" t="s">
        <x:v>272</x:v>
      </x:c>
      <x:c r="C43" s="34" t="s">
        <x:v>47</x:v>
      </x:c>
      <x:c r="D43" s="34" t="s">
        <x:v>55</x:v>
      </x:c>
      <x:c r="E43" s="34" t="s">
        <x:v>176</x:v>
      </x:c>
      <x:c r="F43" s="34" t="s">
        <x:v>431</x:v>
      </x:c>
      <x:c r="G43" s="34" t="s">
        <x:v>432</x:v>
      </x:c>
      <x:c r="H43" s="34" t="s">
        <x:v>433</x:v>
      </x:c>
      <x:c r="I43" s="34">
        <x:v>1</x:v>
      </x:c>
      <x:c r="J43" s="34">
        <x:v>30</x:v>
      </x:c>
      <x:c r="K43" s="34">
        <x:v>0.5</x:v>
      </x:c>
      <x:c r="L43" s="34">
        <x:v>30</x:v>
      </x:c>
      <x:c r="M43" s="34">
        <x:v>15</x:v>
      </x:c>
      <x:c r="N43" s="34" t="s">
        <x:v>434</x:v>
      </x:c>
      <x:c r="O43" s="34" t="s">
        <x:v>435</x:v>
      </x:c>
      <x:c r="P43" s="34" t="s">
        <x:v>436</x:v>
      </x:c>
    </x:row>
    <x:row r="44" ht="56.599998474121094">
      <x:c r="A44" s="34" t="s">
        <x:v>437</x:v>
      </x:c>
      <x:c r="B44" s="34" t="s">
        <x:v>272</x:v>
      </x:c>
      <x:c r="C44" s="34" t="s">
        <x:v>264</x:v>
      </x:c>
      <x:c r="D44" s="34" t="s">
        <x:v>265</x:v>
      </x:c>
      <x:c r="E44" s="34" t="s">
        <x:v>220</x:v>
      </x:c>
      <x:c r="F44" s="34" t="s">
        <x:v>438</x:v>
      </x:c>
      <x:c r="G44" s="34" t="s">
        <x:v>439</x:v>
      </x:c>
      <x:c r="H44" s="34" t="s">
        <x:v>440</x:v>
      </x:c>
      <x:c r="I44" s="34">
        <x:v>1</x:v>
      </x:c>
      <x:c r="J44" s="34">
        <x:v>60</x:v>
      </x:c>
      <x:c r="K44" s="34">
        <x:v>1</x:v>
      </x:c>
      <x:c r="L44" s="34">
        <x:v>30</x:v>
      </x:c>
      <x:c r="M44" s="34">
        <x:v>30</x:v>
      </x:c>
      <x:c r="N44" s="34" t="s">
        <x:v>423</x:v>
      </x:c>
      <x:c r="O44" s="34" t="s">
        <x:v>441</x:v>
      </x:c>
      <x:c r="P44" s="34" t="s">
        <x:v>442</x:v>
      </x:c>
    </x:row>
    <x:row r="45">
      <x:c r="A45" t="str">
        <x:v>BIO-0064</x:v>
      </x:c>
      <x:c r="B45" t="str">
        <x:v>BioZBW</x:v>
      </x:c>
      <x:c r="C45" t="str">
        <x:v>Traubenerzeuger / landwirtschaftlicher Betrieb</x:v>
      </x:c>
      <x:c r="D45" t="str">
        <x:v>Traubenerzeuger; Bezugsform: Gruppe</x:v>
      </x:c>
      <x:c r="E45" t="str">
        <x:v>Ausfüllen von Checklisten und Formulare</x:v>
      </x:c>
      <x:c r="F45" t="str">
        <x:v>Eigenkontrollcheckliste des landwirtschaftlichen Betriebs ausfüllen und ablegen</x:v>
      </x:c>
      <x:c r="G45" t="str">
        <x:v>Vollständig ausgefüllte BioZBW-Eigenkontrollcheckliste des landwirtschaftlichen Betriebs</x:v>
      </x:c>
      <x:c r="H45" t="str">
        <x:v>jährlich (fachlich gesetzte Modellannahme)</x:v>
      </x:c>
      <x:c r="I45" t="n">
        <x:v>1</x:v>
      </x:c>
      <x:c r="J45" t="n">
        <x:v>30</x:v>
      </x:c>
      <x:c r="K45" t="n">
        <x:v>0.5</x:v>
      </x:c>
      <x:c r="L45" t="n">
        <x:v>50</x:v>
      </x:c>
      <x:c r="M45" t="n">
        <x:v>25</x:v>
      </x:c>
      <x:c r="N45" t="str">
        <x:v>Fachlich gesetzte Modellannahme der Studienleitung; nicht als eigenständige Pflicht in den ausgewerteten BioZBW-Dokumenten belegt</x:v>
      </x:c>
      <x:c r="O45" t="str">
        <x:v>Modellannahme vom 05.08.2026</x:v>
      </x:c>
      <x:c r="P45" t="str">
        <x:v>Kein wörtliches Quellenzitat; die Pflicht zur Eigenkontrollcheckliste des Traubenerzeugers wurde für die Kostenmodellierung fachlich gesetzt.</x:v>
      </x:c>
    </x:row>
  </x:sheetData>
  <x:pageMargins left="0.7" right="0.7" top="0.75" bottom="0.75" header="0.3" footer="0.3"/>
  <x:tableParts count="1">
    <x:tablePart xmlns:r="http://schemas.openxmlformats.org/officeDocument/2006/relationships" r:id="R406a3c9e476746e0"/>
  </x:tableParts>
</x:worksheet>
</file>

<file path=xl/worksheets/sheet3.xml><?xml version="1.0" encoding="utf-8"?>
<x:worksheet xmlns:x="http://schemas.openxmlformats.org/spreadsheetml/2006/main">
  <x:sheetViews>
    <x:sheetView showGridLines="0" workbookViewId="0"/>
  </x:sheetViews>
  <x:sheetFormatPr baseColWidth="10" defaultColWidth="9.140625" defaultRowHeight="14.149999618530273"/>
  <x:cols>
    <x:col min="1" max="1" width="48" customWidth="1"/>
    <x:col min="2" max="3" width="22" customWidth="1"/>
    <x:col min="4" max="4" width="24" customWidth="1"/>
    <x:col min="5" max="5" width="40" customWidth="1"/>
    <x:col min="6" max="6" width="22" customWidth="1"/>
    <x:col min="8" max="8" width="44" customWidth="1"/>
    <x:col min="9" max="11" width="16" customWidth="1"/>
  </x:cols>
  <x:sheetData>
    <x:row r="1" ht="30" customHeight="1">
      <x:c r="A1" s="87" t="s">
        <x:v>443</x:v>
      </x:c>
      <x:c r="B1" s="87"/>
      <x:c r="C1" s="87"/>
      <x:c r="D1" s="87"/>
      <x:c r="E1" s="87"/>
      <x:c r="F1" s="87"/>
      <x:c r="G1"/>
      <x:c r="H1"/>
      <x:c r="I1"/>
      <x:c r="J1"/>
      <x:c r="K1"/>
    </x:row>
    <x:row r="2" ht="36" customHeight="1">
      <x:c r="A2" s="88" t="s">
        <x:v>444</x:v>
      </x:c>
      <x:c r="B2" s="88"/>
      <x:c r="C2" s="88"/>
      <x:c r="D2" s="88"/>
      <x:c r="E2" s="88"/>
      <x:c r="F2" s="88"/>
      <x:c r="G2"/>
      <x:c r="H2"/>
      <x:c r="I2"/>
      <x:c r="J2"/>
      <x:c r="K2"/>
    </x:row>
    <x:row r="3">
      <x:c r="A3"/>
      <x:c r="B3"/>
      <x:c r="C3"/>
      <x:c r="D3"/>
      <x:c r="E3"/>
      <x:c r="F3"/>
      <x:c r="G3"/>
      <x:c r="H3"/>
      <x:c r="I3"/>
      <x:c r="J3"/>
      <x:c r="K3"/>
    </x:row>
    <x:row r="4" ht="28.299999237060547">
      <x:c r="A4" s="7" t="s">
        <x:v>445</x:v>
      </x:c>
      <x:c r="B4" s="7" t="s">
        <x:v>446</x:v>
      </x:c>
      <x:c r="C4" s="7" t="s">
        <x:v>447</x:v>
      </x:c>
      <x:c r="D4" s="7" t="s">
        <x:v>448</x:v>
      </x:c>
      <x:c r="E4" s="9"/>
      <x:c r="F4" s="10"/>
      <x:c r="G4"/>
      <x:c r="H4"/>
      <x:c r="I4"/>
      <x:c r="J4"/>
      <x:c r="K4"/>
    </x:row>
    <x:row r="5">
      <x:c r="A5" s="11" t="s">
        <x:v>449</x:v>
      </x:c>
      <x:c r="B5" s="12" t="n">
        <x:f>SUM(Anford_QZBW_zert_spez!$M$2:$M$44)</x:f>
        <x:v>1336.25</x:v>
      </x:c>
      <x:c r="C5" s="12" t="n">
        <x:f>SUM(Anford_BioZBW_zert_spez!$M$2:$M$45)</x:f>
        <x:v>1316.25</x:v>
      </x:c>
      <x:c r="D5" s="12" t="n">
        <x:f>B5-C5</x:f>
        <x:v>20</x:v>
      </x:c>
      <x:c r="E5" s="13"/>
      <x:c r="F5" s="14"/>
      <x:c r="G5"/>
      <x:c r="H5"/>
      <x:c r="I5"/>
      <x:c r="J5"/>
      <x:c r="K5"/>
    </x:row>
    <x:row r="6">
      <x:c r="A6" s="11" t="s">
        <x:v>450</x:v>
      </x:c>
      <x:c r="B6" s="15" t="n">
        <x:f>SUM(Anford_QZBW_zert_spez!$K$2:$K$44)</x:f>
        <x:v>42.125</x:v>
      </x:c>
      <x:c r="C6" s="15" t="n">
        <x:f>SUM(Anford_BioZBW_zert_spez!$K$2:$K$45)</x:f>
        <x:v>42.125</x:v>
      </x:c>
      <x:c r="D6" s="15" t="n">
        <x:f>B6-C6</x:f>
        <x:v>0</x:v>
      </x:c>
      <x:c r="E6" s="13"/>
      <x:c r="F6" s="14"/>
      <x:c r="G6"/>
      <x:c r="H6"/>
      <x:c r="I6"/>
      <x:c r="J6"/>
      <x:c r="K6"/>
    </x:row>
    <x:row r="7">
      <x:c r="A7" s="11" t="s">
        <x:v>451</x:v>
      </x:c>
      <x:c r="B7" s="16" t="n">
        <x:f>COUNT(Anford_QZBW_zert_spez!$M$2:$M$44)</x:f>
        <x:v>43</x:v>
      </x:c>
      <x:c r="C7" s="16" t="n">
        <x:f>COUNT(Anford_BioZBW_zert_spez!$M$2:$M$45)</x:f>
        <x:v>44</x:v>
      </x:c>
      <x:c r="D7" s="16" t="n">
        <x:f>B7-C7</x:f>
        <x:v>-1</x:v>
      </x:c>
      <x:c r="E7" s="13"/>
      <x:c r="F7" s="14"/>
      <x:c r="G7"/>
      <x:c r="H7"/>
      <x:c r="I7"/>
      <x:c r="J7"/>
      <x:c r="K7"/>
    </x:row>
    <x:row r="8">
      <x:c r="A8" s="11"/>
      <x:c r="B8" s="13"/>
      <x:c r="C8" s="13"/>
      <x:c r="D8" s="13"/>
      <x:c r="E8" s="13"/>
      <x:c r="F8" s="14"/>
      <x:c r="G8"/>
      <x:c r="H8"/>
      <x:c r="I8"/>
      <x:c r="J8"/>
      <x:c r="K8"/>
    </x:row>
    <x:row r="9" ht="28.299999237060547">
      <x:c r="A9" s="8" t="s">
        <x:v>452</x:v>
      </x:c>
      <x:c r="B9" s="8" t="s">
        <x:v>453</x:v>
      </x:c>
      <x:c r="C9" s="8" t="s">
        <x:v>454</x:v>
      </x:c>
      <x:c r="D9" s="8" t="s">
        <x:v>455</x:v>
      </x:c>
      <x:c r="E9" s="8" t="s">
        <x:v>456</x:v>
      </x:c>
      <x:c r="F9" s="14"/>
      <x:c r="G9"/>
      <x:c r="H9"/>
      <x:c r="I9"/>
      <x:c r="J9"/>
      <x:c r="K9"/>
    </x:row>
    <x:row r="10">
      <x:c r="A10" s="11" t="s">
        <x:v>457</x:v>
      </x:c>
      <x:c r="B10" s="12" t="n">
        <x:f>B5</x:f>
        <x:v>1336.25</x:v>
      </x:c>
      <x:c r="C10" s="12">
        <x:v>1693.75</x:v>
      </x:c>
      <x:c r="D10" s="12" t="n">
        <x:f>B10-C10</x:f>
        <x:v>-357.5</x:v>
      </x:c>
      <x:c r="E10" s="17" t="s">
        <x:v>458</x:v>
      </x:c>
      <x:c r="F10" s="14"/>
      <x:c r="G10"/>
      <x:c r="H10"/>
      <x:c r="I10"/>
      <x:c r="J10"/>
      <x:c r="K10"/>
    </x:row>
    <x:row r="11">
      <x:c r="A11" s="11" t="s">
        <x:v>459</x:v>
      </x:c>
      <x:c r="B11" s="12" t="n">
        <x:f>C5</x:f>
        <x:v>1316.25</x:v>
      </x:c>
      <x:c r="C11" s="12">
        <x:v>1358.75</x:v>
      </x:c>
      <x:c r="D11" s="12" t="n">
        <x:f>B11-C11</x:f>
        <x:v>-42.5</x:v>
      </x:c>
      <x:c r="E11" s="17" t="s">
        <x:v>458</x:v>
      </x:c>
      <x:c r="F11" s="14"/>
      <x:c r="G11"/>
      <x:c r="H11"/>
      <x:c r="I11"/>
      <x:c r="J11"/>
      <x:c r="K11"/>
    </x:row>
    <x:row r="12">
      <x:c r="A12" s="11" t="s">
        <x:v>460</x:v>
      </x:c>
      <x:c r="B12" s="12" t="n">
        <x:f>B10-B11</x:f>
        <x:v>20</x:v>
      </x:c>
      <x:c r="C12" s="12">
        <x:v>335</x:v>
      </x:c>
      <x:c r="D12" s="12" t="n">
        <x:f>B12-C12</x:f>
        <x:v>-315</x:v>
      </x:c>
      <x:c r="E12" s="17" t="s">
        <x:v>458</x:v>
      </x:c>
      <x:c r="F12" s="14"/>
      <x:c r="G12"/>
      <x:c r="H12"/>
      <x:c r="I12"/>
      <x:c r="J12"/>
      <x:c r="K12"/>
    </x:row>
    <x:row r="13">
      <x:c r="A13" s="11"/>
      <x:c r="B13" s="13"/>
      <x:c r="C13" s="13"/>
      <x:c r="D13" s="13"/>
      <x:c r="E13" s="13"/>
      <x:c r="F13" s="14"/>
      <x:c r="G13"/>
      <x:c r="H13"/>
      <x:c r="I13"/>
      <x:c r="J13"/>
      <x:c r="K13"/>
    </x:row>
    <x:row r="14">
      <x:c r="A14" s="11"/>
      <x:c r="B14" s="13"/>
      <x:c r="C14" s="13"/>
      <x:c r="D14" s="13"/>
      <x:c r="E14" s="13"/>
      <x:c r="F14" s="14"/>
      <x:c r="G14"/>
      <x:c r="H14"/>
      <x:c r="I14"/>
      <x:c r="J14"/>
      <x:c r="K14"/>
    </x:row>
    <x:row r="15">
      <x:c r="A15" s="8" t="s">
        <x:v>461</x:v>
      </x:c>
      <x:c r="B15" s="8" t="s">
        <x:v>462</x:v>
      </x:c>
      <x:c r="C15" s="8" t="s">
        <x:v>463</x:v>
      </x:c>
      <x:c r="D15" s="8" t="s">
        <x:v>464</x:v>
      </x:c>
      <x:c r="E15" s="8" t="s">
        <x:v>465</x:v>
      </x:c>
      <x:c r="F15" s="8" t="s">
        <x:v>466</x:v>
      </x:c>
      <x:c r="G15"/>
      <x:c r="H15" s="43" t="s">
        <x:v>467</x:v>
      </x:c>
      <x:c r="I15" s="43"/>
      <x:c r="J15" s="43"/>
      <x:c r="K15" s="43"/>
    </x:row>
    <x:row r="16" ht="26.049999237060547" customHeight="1">
      <x:c r="A16" s="11" t="s">
        <x:v>18</x:v>
      </x:c>
      <x:c r="B16" s="12" t="n">
        <x:f>SUMIFS(Anford_QZBW_zert_spez!$M$2:$M$44,Anford_QZBW_zert_spez!$C$2:$C$44,$A16)</x:f>
        <x:v>137.5</x:v>
      </x:c>
      <x:c r="C16" s="12" t="n">
        <x:f>SUMIFS(Anford_BioZBW_zert_spez!$M$2:$M$45,Anford_BioZBW_zert_spez!$C$2:$C$45,$A16)</x:f>
        <x:v>87.5</x:v>
      </x:c>
      <x:c r="D16" s="12" t="n">
        <x:f>B16-C16</x:f>
        <x:v>50</x:v>
      </x:c>
      <x:c r="E16" s="15" t="n">
        <x:f>SUMIFS(Anford_QZBW_zert_spez!$K$2:$K$44,Anford_QZBW_zert_spez!$C$2:$C$44,$A16)</x:f>
        <x:v>2.75</x:v>
      </x:c>
      <x:c r="F16" s="18" t="n">
        <x:f>SUMIFS(Anford_BioZBW_zert_spez!$K$2:$K$45,Anford_BioZBW_zert_spez!$C$2:$C$45,$A16)</x:f>
        <x:v>1.75</x:v>
      </x:c>
      <x:c r="G16"/>
      <x:c r="H16" s="44" t="s">
        <x:v>468</x:v>
      </x:c>
      <x:c r="I16" s="44" t="s">
        <x:v>446</x:v>
      </x:c>
      <x:c r="J16" s="44" t="s">
        <x:v>447</x:v>
      </x:c>
      <x:c r="K16" s="44" t="s">
        <x:v>464</x:v>
      </x:c>
    </x:row>
    <x:row r="17" ht="26.049999237060547" customHeight="1">
      <x:c r="A17" s="11" t="s">
        <x:v>47</x:v>
      </x:c>
      <x:c r="B17" s="12" t="n">
        <x:f>SUMIFS(Anford_QZBW_zert_spez!$M$2:$M$44,Anford_QZBW_zert_spez!$C$2:$C$44,$A17)</x:f>
        <x:v>898.75</x:v>
      </x:c>
      <x:c r="C17" s="12" t="n">
        <x:f>SUMIFS(Anford_BioZBW_zert_spez!$M$2:$M$45,Anford_BioZBW_zert_spez!$C$2:$C$45,$A17)</x:f>
        <x:v>898.75</x:v>
      </x:c>
      <x:c r="D17" s="12" t="n">
        <x:f>B17-C17</x:f>
        <x:v>0</x:v>
      </x:c>
      <x:c r="E17" s="15" t="n">
        <x:f>SUMIFS(Anford_QZBW_zert_spez!$K$2:$K$44,Anford_QZBW_zert_spez!$C$2:$C$44,$A17)</x:f>
        <x:v>29.375</x:v>
      </x:c>
      <x:c r="F17" s="18" t="n">
        <x:f>SUMIFS(Anford_BioZBW_zert_spez!$K$2:$K$45,Anford_BioZBW_zert_spez!$C$2:$C$45,$A17)</x:f>
        <x:v>29.375</x:v>
      </x:c>
      <x:c r="G17"/>
      <x:c r="H17" s="45" t="s">
        <x:v>48</x:v>
      </x:c>
      <x:c r="I17" s="47" t="n">
        <x:f>SUMIFS(Anford_QZBW_zert_spez!$M$2:$M$44,Anford_QZBW_zert_spez!$D$2:$D$44,$H17)</x:f>
        <x:v>772.5</x:v>
      </x:c>
      <x:c r="J17" s="47" t="n">
        <x:f>SUMIFS(Anford_BioZBW_zert_spez!$M$2:$M$45,Anford_BioZBW_zert_spez!$D$2:$D$45,$H17)</x:f>
        <x:v>757.5</x:v>
      </x:c>
      <x:c r="K17" s="47" t="n">
        <x:f>I17-J17</x:f>
        <x:v>15</x:v>
      </x:c>
    </x:row>
    <x:row r="18" ht="26.049999237060547" customHeight="1">
      <x:c r="A18" s="11" t="s">
        <x:v>469</x:v>
      </x:c>
      <x:c r="B18" s="12" t="n">
        <x:f>SUMIFS(Anford_QZBW_zert_spez!$M$2:$M$44,Anford_QZBW_zert_spez!$C$2:$C$44,$A18)</x:f>
        <x:v>0</x:v>
      </x:c>
      <x:c r="C18" s="12" t="n">
        <x:f>SUMIFS(Anford_BioZBW_zert_spez!$M$2:$M$45,Anford_BioZBW_zert_spez!$C$2:$C$45,$A18)</x:f>
        <x:v>0</x:v>
      </x:c>
      <x:c r="D18" s="12" t="n">
        <x:f>B18-C18</x:f>
        <x:v>0</x:v>
      </x:c>
      <x:c r="E18" s="15" t="n">
        <x:f>SUMIFS(Anford_QZBW_zert_spez!$K$2:$K$44,Anford_QZBW_zert_spez!$C$2:$C$44,$A18)</x:f>
        <x:v>0</x:v>
      </x:c>
      <x:c r="F18" s="18" t="n">
        <x:f>SUMIFS(Anford_BioZBW_zert_spez!$K$2:$K$45,Anford_BioZBW_zert_spez!$C$2:$C$45,$A18)</x:f>
        <x:v>0</x:v>
      </x:c>
      <x:c r="G18"/>
      <x:c r="H18" s="45" t="s">
        <x:v>55</x:v>
      </x:c>
      <x:c r="I18" s="47" t="n">
        <x:f>SUMIFS(Anford_QZBW_zert_spez!$M$2:$M$44,Anford_QZBW_zert_spez!$D$2:$D$44,$H18)</x:f>
        <x:v>126.25</x:v>
      </x:c>
      <x:c r="J18" s="47" t="n">
        <x:f>SUMIFS(Anford_BioZBW_zert_spez!$M$2:$M$45,Anford_BioZBW_zert_spez!$D$2:$D$45,$H18)</x:f>
        <x:v>141.25</x:v>
      </x:c>
      <x:c r="K18" s="47" t="n">
        <x:f>I18-J18</x:f>
        <x:v>-15</x:v>
      </x:c>
    </x:row>
    <x:row r="19" ht="26.049999237060547" customHeight="1">
      <x:c r="A19" s="11" t="s">
        <x:v>163</x:v>
      </x:c>
      <x:c r="B19" s="12" t="n">
        <x:f>SUMIFS(Anford_QZBW_zert_spez!$M$2:$M$44,Anford_QZBW_zert_spez!$C$2:$C$44,$A19)</x:f>
        <x:v>270</x:v>
      </x:c>
      <x:c r="C19" s="12" t="n">
        <x:f>SUMIFS(Anford_BioZBW_zert_spez!$M$2:$M$45,Anford_BioZBW_zert_spez!$C$2:$C$45,$A19)</x:f>
        <x:v>270</x:v>
      </x:c>
      <x:c r="D19" s="12" t="n">
        <x:f>B19-C19</x:f>
        <x:v>0</x:v>
      </x:c>
      <x:c r="E19" s="15" t="n">
        <x:f>SUMIFS(Anford_QZBW_zert_spez!$K$2:$K$44,Anford_QZBW_zert_spez!$C$2:$C$44,$A19)</x:f>
        <x:v>9</x:v>
      </x:c>
      <x:c r="F19" s="18" t="n">
        <x:f>SUMIFS(Anford_BioZBW_zert_spez!$K$2:$K$45,Anford_BioZBW_zert_spez!$C$2:$C$45,$A19)</x:f>
        <x:v>9</x:v>
      </x:c>
      <x:c r="G19"/>
      <x:c r="H19" s="46" t="s">
        <x:v>470</x:v>
      </x:c>
      <x:c r="I19" s="48" t="n">
        <x:f>SUM(I17:I18)</x:f>
        <x:v>898.75</x:v>
      </x:c>
      <x:c r="J19" s="48" t="n">
        <x:f>SUM(J17:J18)</x:f>
        <x:v>898.75</x:v>
      </x:c>
      <x:c r="K19" s="48" t="n">
        <x:f>I19-J19</x:f>
        <x:v>0</x:v>
      </x:c>
    </x:row>
    <x:row r="20" ht="26.049999237060547" customHeight="1">
      <x:c r="A20" s="11" t="s">
        <x:v>264</x:v>
      </x:c>
      <x:c r="B20" s="12" t="n">
        <x:f>SUMIFS(Anford_QZBW_zert_spez!$M$2:$M$44,Anford_QZBW_zert_spez!$C$2:$C$44,$A20)</x:f>
        <x:v>30</x:v>
      </x:c>
      <x:c r="C20" s="12" t="n">
        <x:f>SUMIFS(Anford_BioZBW_zert_spez!$M$2:$M$45,Anford_BioZBW_zert_spez!$C$2:$C$45,$A20)</x:f>
        <x:v>60</x:v>
      </x:c>
      <x:c r="D20" s="12" t="n">
        <x:f>B20-C20</x:f>
        <x:v>-30</x:v>
      </x:c>
      <x:c r="E20" s="15" t="n">
        <x:f>SUMIFS(Anford_QZBW_zert_spez!$K$2:$K$44,Anford_QZBW_zert_spez!$C$2:$C$44,$A20)</x:f>
        <x:v>1</x:v>
      </x:c>
      <x:c r="F20" s="18" t="n">
        <x:f>SUMIFS(Anford_BioZBW_zert_spez!$K$2:$K$45,Anford_BioZBW_zert_spez!$C$2:$C$45,$A20)</x:f>
        <x:v>2</x:v>
      </x:c>
      <x:c r="G20"/>
      <x:c r="H20"/>
      <x:c r="I20"/>
      <x:c r="J20"/>
      <x:c r="K20"/>
    </x:row>
    <x:row r="21">
      <x:c r="A21" s="11"/>
      <x:c r="B21" s="13"/>
      <x:c r="C21" s="13"/>
      <x:c r="D21" s="13"/>
      <x:c r="E21" s="13"/>
      <x:c r="F21" s="14"/>
      <x:c r="G21"/>
      <x:c r="H21"/>
      <x:c r="I21"/>
      <x:c r="J21"/>
      <x:c r="K21"/>
    </x:row>
    <x:row r="22">
      <x:c r="A22" s="11"/>
      <x:c r="B22" s="13"/>
      <x:c r="C22" s="13"/>
      <x:c r="D22" s="13"/>
      <x:c r="E22" s="13"/>
      <x:c r="F22" s="14"/>
      <x:c r="G22"/>
      <x:c r="H22"/>
      <x:c r="I22"/>
      <x:c r="J22"/>
      <x:c r="K22"/>
    </x:row>
    <x:row r="23">
      <x:c r="A23" s="8" t="s">
        <x:v>4</x:v>
      </x:c>
      <x:c r="B23" s="8" t="s">
        <x:v>462</x:v>
      </x:c>
      <x:c r="C23" s="8" t="s">
        <x:v>463</x:v>
      </x:c>
      <x:c r="D23" s="8" t="s">
        <x:v>464</x:v>
      </x:c>
      <x:c r="E23" s="13"/>
      <x:c r="F23" s="14"/>
      <x:c r="G23"/>
      <x:c r="H23"/>
      <x:c r="I23"/>
      <x:c r="J23"/>
      <x:c r="K23"/>
    </x:row>
    <x:row r="24" ht="24" customHeight="1">
      <x:c r="A24" s="11" t="s">
        <x:v>176</x:v>
      </x:c>
      <x:c r="B24" s="12" t="n">
        <x:f>SUMIFS(Anford_QZBW_zert_spez!$M$2:$M$44,Anford_QZBW_zert_spez!$E$2:$E$44,$A24)</x:f>
        <x:v>47.5</x:v>
      </x:c>
      <x:c r="C24" s="12" t="n">
        <x:f>SUMIFS(Anford_BioZBW_zert_spez!$M$2:$M$45,Anford_BioZBW_zert_spez!$E$2:$E$45,$A24)</x:f>
        <x:v>47.5</x:v>
      </x:c>
      <x:c r="D24" s="12" t="n">
        <x:f t="shared" ref="D24:D34" si="0">B24-C24</x:f>
        <x:v>0</x:v>
      </x:c>
      <x:c r="E24" s="13"/>
      <x:c r="F24" s="14"/>
      <x:c r="G24"/>
      <x:c r="H24"/>
      <x:c r="I24"/>
      <x:c r="J24"/>
      <x:c r="K24"/>
    </x:row>
    <x:row r="25" ht="24" customHeight="1">
      <x:c r="A25" s="11" t="s">
        <x:v>72</x:v>
      </x:c>
      <x:c r="B25" s="12" t="n">
        <x:f>SUMIFS(Anford_QZBW_zert_spez!$M$2:$M$44,Anford_QZBW_zert_spez!$E$2:$E$44,$A25)</x:f>
        <x:v>30</x:v>
      </x:c>
      <x:c r="C25" s="12" t="n">
        <x:f>SUMIFS(Anford_BioZBW_zert_spez!$M$2:$M$45,Anford_BioZBW_zert_spez!$E$2:$E$45,$A25)</x:f>
        <x:v>30</x:v>
      </x:c>
      <x:c r="D25" s="12" t="n">
        <x:f t="shared" si="0">B25-C25</x:f>
        <x:v>0</x:v>
      </x:c>
      <x:c r="E25" s="13"/>
      <x:c r="F25" s="14"/>
      <x:c r="G25"/>
      <x:c r="H25"/>
      <x:c r="I25"/>
      <x:c r="J25"/>
      <x:c r="K25"/>
    </x:row>
    <x:row r="26" ht="24" customHeight="1">
      <x:c r="A26" s="11" t="s">
        <x:v>28</x:v>
      </x:c>
      <x:c r="B26" s="12" t="n">
        <x:f>SUMIFS(Anford_QZBW_zert_spez!$M$2:$M$44,Anford_QZBW_zert_spez!$E$2:$E$44,$A26)</x:f>
        <x:v>348.75</x:v>
      </x:c>
      <x:c r="C26" s="12" t="n">
        <x:f>SUMIFS(Anford_BioZBW_zert_spez!$M$2:$M$45,Anford_BioZBW_zert_spez!$E$2:$E$45,$A26)</x:f>
        <x:v>298.75</x:v>
      </x:c>
      <x:c r="D26" s="12" t="n">
        <x:f t="shared" si="0">B26-C26</x:f>
        <x:v>50</x:v>
      </x:c>
      <x:c r="E26" s="13"/>
      <x:c r="F26" s="14"/>
      <x:c r="G26"/>
      <x:c r="H26"/>
      <x:c r="I26"/>
      <x:c r="J26"/>
      <x:c r="K26"/>
    </x:row>
    <x:row r="27" ht="24" customHeight="1">
      <x:c r="A27" s="11" t="s">
        <x:v>220</x:v>
      </x:c>
      <x:c r="B27" s="12" t="n">
        <x:f>SUMIFS(Anford_QZBW_zert_spez!$M$2:$M$44,Anford_QZBW_zert_spez!$E$2:$E$44,$A27)</x:f>
        <x:v>50</x:v>
      </x:c>
      <x:c r="C27" s="12" t="n">
        <x:f>SUMIFS(Anford_BioZBW_zert_spez!$M$2:$M$45,Anford_BioZBW_zert_spez!$E$2:$E$45,$A27)</x:f>
        <x:v>95</x:v>
      </x:c>
      <x:c r="D27" s="12" t="n">
        <x:f t="shared" si="0">B27-C27</x:f>
        <x:v>-45</x:v>
      </x:c>
      <x:c r="E27" s="13"/>
      <x:c r="F27" s="14"/>
      <x:c r="G27"/>
      <x:c r="H27"/>
      <x:c r="I27"/>
      <x:c r="J27"/>
      <x:c r="K27"/>
    </x:row>
    <x:row r="28" ht="24" customHeight="1">
      <x:c r="A28" s="11" t="s">
        <x:v>141</x:v>
      </x:c>
      <x:c r="B28" s="12" t="n">
        <x:f>SUMIFS(Anford_QZBW_zert_spez!$M$2:$M$44,Anford_QZBW_zert_spez!$E$2:$E$44,$A28)</x:f>
        <x:v>75</x:v>
      </x:c>
      <x:c r="C28" s="12" t="n">
        <x:f>SUMIFS(Anford_BioZBW_zert_spez!$M$2:$M$45,Anford_BioZBW_zert_spez!$E$2:$E$45,$A28)</x:f>
        <x:v>90</x:v>
      </x:c>
      <x:c r="D28" s="12" t="n">
        <x:f t="shared" si="0">B28-C28</x:f>
        <x:v>-15</x:v>
      </x:c>
      <x:c r="E28" s="13"/>
      <x:c r="F28" s="14"/>
      <x:c r="G28"/>
      <x:c r="H28"/>
      <x:c r="I28"/>
      <x:c r="J28"/>
      <x:c r="K28"/>
    </x:row>
    <x:row r="29" ht="36" customHeight="1">
      <x:c r="A29" s="11" t="s">
        <x:v>130</x:v>
      </x:c>
      <x:c r="B29" s="12" t="n">
        <x:f>SUMIFS(Anford_QZBW_zert_spez!$M$2:$M$44,Anford_QZBW_zert_spez!$E$2:$E$44,$A29)</x:f>
        <x:v>42.5</x:v>
      </x:c>
      <x:c r="C29" s="12" t="n">
        <x:f>SUMIFS(Anford_BioZBW_zert_spez!$M$2:$M$45,Anford_BioZBW_zert_spez!$E$2:$E$45,$A29)</x:f>
        <x:v>42.5</x:v>
      </x:c>
      <x:c r="D29" s="12" t="n">
        <x:f t="shared" si="0">B29-C29</x:f>
        <x:v>0</x:v>
      </x:c>
      <x:c r="E29" s="13"/>
      <x:c r="F29" s="14"/>
      <x:c r="G29"/>
      <x:c r="H29"/>
      <x:c r="I29"/>
      <x:c r="J29"/>
      <x:c r="K29"/>
    </x:row>
    <x:row r="30" ht="36" customHeight="1">
      <x:c r="A30" s="11" t="s">
        <x:v>79</x:v>
      </x:c>
      <x:c r="B30" s="12" t="n">
        <x:f>SUMIFS(Anford_QZBW_zert_spez!$M$2:$M$44,Anford_QZBW_zert_spez!$E$2:$E$44,$A30)</x:f>
        <x:v>157.5</x:v>
      </x:c>
      <x:c r="C30" s="12" t="n">
        <x:f>SUMIFS(Anford_BioZBW_zert_spez!$M$2:$M$45,Anford_BioZBW_zert_spez!$E$2:$E$45,$A30)</x:f>
        <x:v>150</x:v>
      </x:c>
      <x:c r="D30" s="12" t="n">
        <x:f t="shared" si="0">B30-C30</x:f>
        <x:v>7.5</x:v>
      </x:c>
      <x:c r="E30" s="13"/>
      <x:c r="F30" s="14"/>
      <x:c r="G30"/>
      <x:c r="H30"/>
      <x:c r="I30"/>
      <x:c r="J30"/>
      <x:c r="K30"/>
    </x:row>
    <x:row r="31" ht="24" customHeight="1">
      <x:c r="A31" s="11" t="s">
        <x:v>156</x:v>
      </x:c>
      <x:c r="B31" s="12" t="n">
        <x:f>SUMIFS(Anford_QZBW_zert_spez!$M$2:$M$44,Anford_QZBW_zert_spez!$E$2:$E$44,$A31)</x:f>
        <x:v>150</x:v>
      </x:c>
      <x:c r="C31" s="12" t="n">
        <x:f>SUMIFS(Anford_BioZBW_zert_spez!$M$2:$M$45,Anford_BioZBW_zert_spez!$E$2:$E$45,$A31)</x:f>
        <x:v>150</x:v>
      </x:c>
      <x:c r="D31" s="12" t="n">
        <x:f t="shared" si="0">B31-C31</x:f>
        <x:v>0</x:v>
      </x:c>
      <x:c r="E31" s="13"/>
      <x:c r="F31" s="14"/>
      <x:c r="G31"/>
      <x:c r="H31"/>
      <x:c r="I31"/>
      <x:c r="J31"/>
      <x:c r="K31"/>
    </x:row>
    <x:row r="32" ht="36" customHeight="1">
      <x:c r="A32" s="11" t="s">
        <x:v>99</x:v>
      </x:c>
      <x:c r="B32" s="12" t="n">
        <x:f>SUMIFS(Anford_QZBW_zert_spez!$M$2:$M$44,Anford_QZBW_zert_spez!$E$2:$E$44,$A32)</x:f>
        <x:v>135</x:v>
      </x:c>
      <x:c r="C32" s="12" t="n">
        <x:f>SUMIFS(Anford_BioZBW_zert_spez!$M$2:$M$45,Anford_BioZBW_zert_spez!$E$2:$E$45,$A32)</x:f>
        <x:v>105</x:v>
      </x:c>
      <x:c r="D32" s="12" t="n">
        <x:f t="shared" si="0">B32-C32</x:f>
        <x:v>30</x:v>
      </x:c>
      <x:c r="E32" s="13"/>
      <x:c r="F32" s="14"/>
      <x:c r="G32"/>
      <x:c r="H32"/>
      <x:c r="I32"/>
      <x:c r="J32"/>
      <x:c r="K32"/>
    </x:row>
    <x:row r="33" ht="24" customHeight="1">
      <x:c r="A33" s="11" t="s">
        <x:v>165</x:v>
      </x:c>
      <x:c r="B33" s="12" t="n">
        <x:f>SUMIFS(Anford_QZBW_zert_spez!$M$2:$M$44,Anford_QZBW_zert_spez!$E$2:$E$44,$A33)</x:f>
        <x:v>135</x:v>
      </x:c>
      <x:c r="C33" s="12" t="n">
        <x:f>SUMIFS(Anford_BioZBW_zert_spez!$M$2:$M$45,Anford_BioZBW_zert_spez!$E$2:$E$45,$A33)</x:f>
        <x:v>135</x:v>
      </x:c>
      <x:c r="D33" s="12" t="n">
        <x:f t="shared" si="0">B33-C33</x:f>
        <x:v>0</x:v>
      </x:c>
      <x:c r="E33" s="13"/>
      <x:c r="F33" s="14"/>
      <x:c r="G33"/>
      <x:c r="H33"/>
      <x:c r="I33"/>
      <x:c r="J33"/>
      <x:c r="K33"/>
    </x:row>
    <x:row r="34" ht="24" customHeight="1">
      <x:c r="A34" s="11" t="s">
        <x:v>20</x:v>
      </x:c>
      <x:c r="B34" s="12" t="n">
        <x:f>SUMIFS(Anford_QZBW_zert_spez!$M$2:$M$44,Anford_QZBW_zert_spez!$E$2:$E$44,$A34)</x:f>
        <x:v>105</x:v>
      </x:c>
      <x:c r="C34" s="12" t="n">
        <x:f>SUMIFS(Anford_BioZBW_zert_spez!$M$2:$M$45,Anford_BioZBW_zert_spez!$E$2:$E$45,$A34)</x:f>
        <x:v>105</x:v>
      </x:c>
      <x:c r="D34" s="12" t="n">
        <x:f t="shared" si="0">B34-C34</x:f>
        <x:v>0</x:v>
      </x:c>
      <x:c r="E34" s="13"/>
      <x:c r="F34" s="14"/>
      <x:c r="G34"/>
      <x:c r="H34"/>
      <x:c r="I34"/>
      <x:c r="J34"/>
      <x:c r="K34"/>
    </x:row>
    <x:row r="35">
      <x:c r="A35" s="11" t="s">
        <x:v>184</x:v>
      </x:c>
      <x:c r="B35" s="13" t="n">
        <x:f>SUMIFS(Anford_QZBW_zert_spez!$M$2:$M$44,Anford_QZBW_zert_spez!$E$2:$E$44,$A35)</x:f>
        <x:v>15</x:v>
      </x:c>
      <x:c r="C35" s="13" t="n">
        <x:f>SUMIFS(Anford_BioZBW_zert_spez!$M$2:$M$45,Anford_BioZBW_zert_spez!$E$2:$E$45,$A35)</x:f>
        <x:v>22.5</x:v>
      </x:c>
      <x:c r="D35" s="13" t="n">
        <x:f>B35-C35</x:f>
        <x:v>-7.5</x:v>
      </x:c>
      <x:c r="E35" s="13"/>
      <x:c r="F35" s="14"/>
      <x:c r="G35"/>
      <x:c r="H35"/>
      <x:c r="I35"/>
      <x:c r="J35"/>
      <x:c r="K35"/>
    </x:row>
    <x:row r="36">
      <x:c r="A36" s="11" t="s">
        <x:v>192</x:v>
      </x:c>
      <x:c r="B36" s="13" t="n">
        <x:f>SUMIFS(Anford_QZBW_zert_spez!$M$2:$M$44,Anford_QZBW_zert_spez!$E$2:$E$44,$A36)</x:f>
        <x:v>45</x:v>
      </x:c>
      <x:c r="C36" s="13" t="n">
        <x:f>SUMIFS(Anford_BioZBW_zert_spez!$M$2:$M$45,Anford_BioZBW_zert_spez!$E$2:$E$45,$A36)</x:f>
        <x:v>45</x:v>
      </x:c>
      <x:c r="D36" s="13" t="n">
        <x:f>B36-C36</x:f>
        <x:v>0</x:v>
      </x:c>
      <x:c r="E36" s="13"/>
      <x:c r="F36" s="14"/>
      <x:c r="G36"/>
      <x:c r="H36"/>
      <x:c r="I36"/>
      <x:c r="J36"/>
      <x:c r="K36"/>
    </x:row>
    <x:row r="37" ht="28.299999237060547">
      <x:c r="A37" s="8" t="s">
        <x:v>471</x:v>
      </x:c>
      <x:c r="B37" s="8" t="s">
        <x:v>11</x:v>
      </x:c>
      <x:c r="C37" s="8" t="s">
        <x:v>472</x:v>
      </x:c>
      <x:c r="D37" s="8" t="s">
        <x:v>473</x:v>
      </x:c>
      <x:c r="E37" s="8" t="s">
        <x:v>474</x:v>
      </x:c>
      <x:c r="F37" s="14"/>
      <x:c r="G37"/>
      <x:c r="H37"/>
      <x:c r="I37"/>
      <x:c r="J37"/>
      <x:c r="K37"/>
    </x:row>
    <x:row r="38" ht="32.04999923706055" customHeight="1">
      <x:c r="A38" s="11" t="s">
        <x:v>475</x:v>
      </x:c>
      <x:c r="B38" s="12" t="n">
        <x:f>Annahmen!C7</x:f>
        <x:v>50</x:v>
      </x:c>
      <x:c r="C38" s="15" t="n">
        <x:f>SUMIFS(Anford_QZBW_zert_spez!$I$2:$I$44,Anford_QZBW_zert_spez!$L$2:$L$44,$B38)</x:f>
        <x:v>10</x:v>
      </x:c>
      <x:c r="D38" s="15" t="n">
        <x:f>SUMIFS(Anford_BioZBW_zert_spez!$I$2:$I$45,Anford_BioZBW_zert_spez!$L$2:$L$45,$B38)</x:f>
        <x:v>9</x:v>
      </x:c>
      <x:c r="E38" s="13" t="s">
        <x:v>476</x:v>
      </x:c>
      <x:c r="F38" s="14"/>
      <x:c r="G38"/>
      <x:c r="H38"/>
      <x:c r="I38"/>
      <x:c r="J38"/>
      <x:c r="K38"/>
    </x:row>
    <x:row r="39" ht="32.04999923706055" customHeight="1">
      <x:c r="A39" s="11" t="s">
        <x:v>477</x:v>
      </x:c>
      <x:c r="B39" s="12" t="n">
        <x:f>Annahmen!C8</x:f>
        <x:v>30</x:v>
      </x:c>
      <x:c r="C39" s="15" t="n">
        <x:f>SUMIFS(Anford_QZBW_zert_spez!$I$2:$I$44,Anford_QZBW_zert_spez!$L$2:$L$44,$B39)</x:f>
        <x:v>32</x:v>
      </x:c>
      <x:c r="D39" s="15" t="n">
        <x:f>SUMIFS(Anford_BioZBW_zert_spez!$I$2:$I$45,Anford_BioZBW_zert_spez!$L$2:$L$45,$B39)</x:f>
        <x:v>34</x:v>
      </x:c>
      <x:c r="E39" s="13" t="s">
        <x:v>476</x:v>
      </x:c>
      <x:c r="F39" s="14"/>
      <x:c r="G39"/>
      <x:c r="H39"/>
      <x:c r="I39"/>
      <x:c r="J39"/>
      <x:c r="K39"/>
    </x:row>
    <x:row r="40" ht="32.04999923706055" customHeight="1">
      <x:c r="A40" s="11" t="s">
        <x:v>478</x:v>
      </x:c>
      <x:c r="B40" s="12" t="n">
        <x:f>Annahmen!C9</x:f>
        <x:v>25</x:v>
      </x:c>
      <x:c r="C40" s="15" t="n">
        <x:f>SUMIFS(Anford_QZBW_zert_spez!$I$2:$I$44,Anford_QZBW_zert_spez!$L$2:$L$44,$B40)</x:f>
        <x:v>1</x:v>
      </x:c>
      <x:c r="D40" s="15" t="n">
        <x:f>SUMIFS(Anford_BioZBW_zert_spez!$I$2:$I$45,Anford_BioZBW_zert_spez!$L$2:$L$45,$B40)</x:f>
        <x:v>1</x:v>
      </x:c>
      <x:c r="E40" s="13" t="s">
        <x:v>476</x:v>
      </x:c>
      <x:c r="F40" s="14"/>
      <x:c r="G40"/>
      <x:c r="H40"/>
      <x:c r="I40"/>
      <x:c r="J40"/>
      <x:c r="K40"/>
    </x:row>
    <x:row r="41">
      <x:c r="A41" s="11"/>
      <x:c r="B41" s="13"/>
      <x:c r="C41" s="13"/>
      <x:c r="D41" s="13"/>
      <x:c r="E41" s="13"/>
      <x:c r="F41" s="14"/>
      <x:c r="G41"/>
      <x:c r="H41"/>
      <x:c r="I41"/>
      <x:c r="J41"/>
      <x:c r="K41"/>
    </x:row>
    <x:row r="42">
      <x:c r="A42" s="11"/>
      <x:c r="B42" s="13"/>
      <x:c r="C42" s="13"/>
      <x:c r="D42" s="13"/>
      <x:c r="E42" s="13"/>
      <x:c r="F42" s="14"/>
      <x:c r="G42"/>
      <x:c r="H42"/>
      <x:c r="I42"/>
      <x:c r="J42"/>
      <x:c r="K42"/>
    </x:row>
    <x:row r="43">
      <x:c r="A43" s="89" t="s">
        <x:v>479</x:v>
      </x:c>
      <x:c r="B43" s="90"/>
      <x:c r="C43" s="90"/>
      <x:c r="D43" s="90"/>
      <x:c r="E43" s="90"/>
      <x:c r="F43" s="91"/>
      <x:c r="G43"/>
      <x:c r="H43"/>
      <x:c r="I43"/>
      <x:c r="J43"/>
      <x:c r="K43"/>
    </x:row>
    <x:row r="44" ht="34" customHeight="1">
      <x:c r="A44" s="92" t="s">
        <x:v>480</x:v>
      </x:c>
      <x:c r="B44" s="93"/>
      <x:c r="C44" s="93"/>
      <x:c r="D44" s="93"/>
      <x:c r="E44" s="93"/>
      <x:c r="F44" s="94"/>
      <x:c r="G44"/>
      <x:c r="H44"/>
      <x:c r="I44"/>
      <x:c r="J44"/>
      <x:c r="K44"/>
    </x:row>
    <x:row r="45" ht="34" customHeight="1">
      <x:c r="A45" s="92" t="s">
        <x:v>481</x:v>
      </x:c>
      <x:c r="B45" s="93"/>
      <x:c r="C45" s="93"/>
      <x:c r="D45" s="93"/>
      <x:c r="E45" s="93"/>
      <x:c r="F45" s="94"/>
      <x:c r="G45"/>
      <x:c r="H45"/>
      <x:c r="I45"/>
      <x:c r="J45"/>
      <x:c r="K45"/>
    </x:row>
    <x:row r="46" ht="34" customHeight="1">
      <x:c r="A46" s="92" t="s">
        <x:v>482</x:v>
      </x:c>
      <x:c r="B46" s="93"/>
      <x:c r="C46" s="93"/>
      <x:c r="D46" s="93"/>
      <x:c r="E46" s="93"/>
      <x:c r="F46" s="94"/>
      <x:c r="G46"/>
      <x:c r="H46"/>
      <x:c r="I46"/>
      <x:c r="J46"/>
      <x:c r="K46"/>
    </x:row>
    <x:row r="47" ht="34" customHeight="1">
      <x:c r="A47" s="92" t="s">
        <x:v>483</x:v>
      </x:c>
      <x:c r="B47" s="93"/>
      <x:c r="C47" s="93"/>
      <x:c r="D47" s="93"/>
      <x:c r="E47" s="93"/>
      <x:c r="F47" s="94"/>
      <x:c r="G47"/>
      <x:c r="H47"/>
      <x:c r="I47"/>
      <x:c r="J47"/>
      <x:c r="K47"/>
    </x:row>
    <x:row r="48" ht="34" customHeight="1">
      <x:c r="A48" s="92" t="s">
        <x:v>484</x:v>
      </x:c>
      <x:c r="B48" s="93"/>
      <x:c r="C48" s="93"/>
      <x:c r="D48" s="93"/>
      <x:c r="E48" s="93"/>
      <x:c r="F48" s="94"/>
      <x:c r="G48"/>
      <x:c r="H48"/>
      <x:c r="I48"/>
      <x:c r="J48"/>
      <x:c r="K48"/>
    </x:row>
    <x:row r="49" ht="34" customHeight="1">
      <x:c r="A49" s="92" t="s">
        <x:v>485</x:v>
      </x:c>
      <x:c r="B49" s="93"/>
      <x:c r="C49" s="93"/>
      <x:c r="D49" s="93"/>
      <x:c r="E49" s="93"/>
      <x:c r="F49" s="94"/>
      <x:c r="G49"/>
      <x:c r="H49"/>
      <x:c r="I49"/>
      <x:c r="J49"/>
      <x:c r="K49"/>
    </x:row>
    <x:row r="50" ht="34" customHeight="1">
      <x:c r="A50" s="92" t="s">
        <x:v>486</x:v>
      </x:c>
      <x:c r="B50" s="93"/>
      <x:c r="C50" s="93"/>
      <x:c r="D50" s="93"/>
      <x:c r="E50" s="93"/>
      <x:c r="F50" s="94"/>
      <x:c r="G50"/>
      <x:c r="H50"/>
      <x:c r="I50"/>
      <x:c r="J50"/>
      <x:c r="K50"/>
    </x:row>
    <x:row r="51" ht="34" customHeight="1">
      <x:c r="A51" s="95" t="s">
        <x:v>487</x:v>
      </x:c>
      <x:c r="B51" s="96"/>
      <x:c r="C51" s="96"/>
      <x:c r="D51" s="96"/>
      <x:c r="E51" s="96"/>
      <x:c r="F51" s="97"/>
      <x:c r="G51"/>
      <x:c r="H51"/>
      <x:c r="I51"/>
      <x:c r="J51"/>
      <x:c r="K51"/>
    </x:row>
    <x:row r="52" ht="34" customHeight="1">
      <x:c r="A52" s="36" t="s">
        <x:v>488</x:v>
      </x:c>
      <x:c r="B52" s="36"/>
      <x:c r="C52" s="36"/>
      <x:c r="D52" s="36"/>
      <x:c r="E52" s="36"/>
      <x:c r="F52" s="36"/>
      <x:c r="G52"/>
      <x:c r="H52"/>
      <x:c r="I52"/>
      <x:c r="J52"/>
      <x:c r="K52"/>
    </x:row>
    <x:row r="53" ht="34" customHeight="1">
      <x:c r="A53" s="36" t="s">
        <x:v>489</x:v>
      </x:c>
      <x:c r="B53" s="36"/>
      <x:c r="C53" s="36"/>
      <x:c r="D53" s="36"/>
      <x:c r="E53" s="36"/>
      <x:c r="F53" s="36"/>
      <x:c r="G53"/>
      <x:c r="H53"/>
      <x:c r="I53"/>
      <x:c r="J53"/>
      <x:c r="K53"/>
    </x:row>
    <x:row r="54" ht="34" customHeight="1">
      <x:c r="A54" s="36" t="s">
        <x:v>490</x:v>
      </x:c>
      <x:c r="B54" s="36"/>
      <x:c r="C54" s="36"/>
      <x:c r="D54" s="36"/>
      <x:c r="E54" s="36"/>
      <x:c r="F54" s="36"/>
      <x:c r="G54"/>
      <x:c r="H54"/>
      <x:c r="I54"/>
      <x:c r="J54"/>
      <x:c r="K54"/>
    </x:row>
    <x:row r="55">
      <x:c r="A55" s="86" t="s">
        <x:v>491</x:v>
      </x:c>
      <x:c r="B55" s="86"/>
      <x:c r="C55" s="86"/>
      <x:c r="D55" s="86"/>
      <x:c r="E55" s="86"/>
      <x:c r="F55" s="86"/>
      <x:c r="G55" s="86"/>
      <x:c r="H55" s="86"/>
      <x:c r="I55" s="86"/>
      <x:c r="J55" s="86"/>
      <x:c r="K55" s="86"/>
    </x:row>
    <x:row r="56">
      <x:c r="A56" s="86" t="s">
        <x:v>492</x:v>
      </x:c>
      <x:c r="B56" s="86"/>
      <x:c r="C56" s="86"/>
      <x:c r="D56" s="86"/>
      <x:c r="E56" s="86"/>
      <x:c r="F56" s="86"/>
      <x:c r="G56" s="86"/>
      <x:c r="H56" s="86"/>
      <x:c r="I56" s="86"/>
      <x:c r="J56" s="86"/>
      <x:c r="K56" s="86"/>
    </x:row>
  </x:sheetData>
  <x:mergeCells>
    <x:mergeCell ref="A55:K55"/>
    <x:mergeCell ref="A56:K56"/>
    <x:mergeCell ref="A1:F1"/>
    <x:mergeCell ref="A2:F2"/>
    <x:mergeCell ref="A43:F43"/>
    <x:mergeCell ref="A44:F44"/>
    <x:mergeCell ref="A45:F45"/>
    <x:mergeCell ref="A51:F51"/>
    <x:mergeCell ref="A46:F46"/>
    <x:mergeCell ref="A47:F47"/>
    <x:mergeCell ref="A48:F48"/>
    <x:mergeCell ref="A49:F49"/>
    <x:mergeCell ref="A50:F50"/>
  </x:mergeCells>
  <x:pageMargins left="0.7" right="0.7" top="0.75" bottom="0.75" header="0.3" footer="0.3"/>
  <x:tableParts count="3">
    <x:tablePart xmlns:r="http://schemas.openxmlformats.org/officeDocument/2006/relationships" r:id="Rcf212a6f427c4532"/>
    <x:tablePart xmlns:r="http://schemas.openxmlformats.org/officeDocument/2006/relationships" r:id="Ra5c36585a7a74776"/>
    <x:tablePart xmlns:r="http://schemas.openxmlformats.org/officeDocument/2006/relationships" r:id="R29e6d231b207413e"/>
  </x:tableParts>
</x:worksheet>
</file>

<file path=xl/worksheets/sheet4.xml><?xml version="1.0" encoding="utf-8"?>
<x:worksheet xmlns:x="http://schemas.openxmlformats.org/spreadsheetml/2006/main">
  <x:sheetViews>
    <x:sheetView showGridLines="0" workbookViewId="0"/>
  </x:sheetViews>
  <x:sheetFormatPr baseColWidth="10" defaultColWidth="9.140625" defaultRowHeight="14.149999618530273"/>
  <x:cols>
    <x:col min="1" max="1" width="14" customWidth="1"/>
    <x:col min="2" max="2" width="18" customWidth="1"/>
    <x:col min="3" max="3" width="34" customWidth="1"/>
    <x:col min="4" max="4" width="20" customWidth="1"/>
    <x:col min="5" max="5" width="30" customWidth="1"/>
    <x:col min="6" max="6" width="52" customWidth="1"/>
    <x:col min="7" max="7" width="32" customWidth="1"/>
    <x:col min="8" max="8" width="38" customWidth="1"/>
    <x:col min="9" max="9" width="42" customWidth="1"/>
  </x:cols>
  <x:sheetData>
    <x:row r="1" ht="30" customHeight="1">
      <x:c r="A1" s="98" t="s">
        <x:v>493</x:v>
      </x:c>
      <x:c r="B1" s="98"/>
      <x:c r="C1" s="98"/>
      <x:c r="D1" s="98"/>
      <x:c r="E1" s="98"/>
      <x:c r="F1" s="98"/>
      <x:c r="G1" s="98"/>
      <x:c r="H1" s="98"/>
      <x:c r="I1" s="98"/>
    </x:row>
    <x:row r="2" ht="34" customHeight="1">
      <x:c r="A2" s="88" t="s">
        <x:v>494</x:v>
      </x:c>
      <x:c r="B2" s="88"/>
      <x:c r="C2" s="88"/>
      <x:c r="D2" s="88"/>
      <x:c r="E2" s="88"/>
      <x:c r="F2" s="88"/>
      <x:c r="G2" s="88"/>
      <x:c r="H2" s="88"/>
      <x:c r="I2" s="88"/>
    </x:row>
    <x:row r="3">
      <x:c r="A3" s="1" t="s">
        <x:v>495</x:v>
      </x:c>
      <x:c r="B3" s="1" t="s">
        <x:v>1</x:v>
      </x:c>
      <x:c r="C3" s="1" t="s">
        <x:v>496</x:v>
      </x:c>
      <x:c r="D3" s="1" t="s">
        <x:v>497</x:v>
      </x:c>
      <x:c r="E3" s="1" t="s">
        <x:v>498</x:v>
      </x:c>
      <x:c r="F3" s="1" t="s">
        <x:v>499</x:v>
      </x:c>
      <x:c r="G3" s="1" t="s">
        <x:v>500</x:v>
      </x:c>
      <x:c r="H3" s="1" t="s">
        <x:v>501</x:v>
      </x:c>
      <x:c r="I3" s="1" t="s">
        <x:v>502</x:v>
      </x:c>
    </x:row>
    <x:row r="4" ht="54" customHeight="1">
      <x:c r="A4" s="3" t="s">
        <x:v>503</x:v>
      </x:c>
      <x:c r="B4" s="3" t="s">
        <x:v>504</x:v>
      </x:c>
      <x:c r="C4" s="3" t="s">
        <x:v>505</x:v>
      </x:c>
      <x:c r="D4" s="3" t="s">
        <x:v>506</x:v>
      </x:c>
      <x:c r="E4" s="3" t="s">
        <x:v>507</x:v>
      </x:c>
      <x:c r="F4" s="3" t="s">
        <x:v>508</x:v>
      </x:c>
      <x:c r="G4" s="3" t="s">
        <x:v>509</x:v>
      </x:c>
      <x:c r="H4" s="3" t="s">
        <x:v>510</x:v>
      </x:c>
      <x:c r="I4" s="3" t="s">
        <x:v>511</x:v>
      </x:c>
    </x:row>
    <x:row r="5" ht="54" customHeight="1">
      <x:c r="A5" s="3" t="s">
        <x:v>512</x:v>
      </x:c>
      <x:c r="B5" s="3" t="s">
        <x:v>17</x:v>
      </x:c>
      <x:c r="C5" s="3" t="s">
        <x:v>513</x:v>
      </x:c>
      <x:c r="D5" s="3" t="s">
        <x:v>514</x:v>
      </x:c>
      <x:c r="E5" s="3" t="s">
        <x:v>515</x:v>
      </x:c>
      <x:c r="F5" s="29" t="s">
        <x:v>516</x:v>
      </x:c>
      <x:c r="G5" s="3" t="s">
        <x:v>517</x:v>
      </x:c>
      <x:c r="H5" s="3" t="s">
        <x:v>518</x:v>
      </x:c>
      <x:c r="I5" s="3" t="s">
        <x:v>519</x:v>
      </x:c>
    </x:row>
    <x:row r="6" ht="54" customHeight="1">
      <x:c r="A6" s="3" t="s">
        <x:v>520</x:v>
      </x:c>
      <x:c r="B6" s="3" t="s">
        <x:v>272</x:v>
      </x:c>
      <x:c r="C6" s="3" t="s">
        <x:v>521</x:v>
      </x:c>
      <x:c r="D6" s="3" t="s">
        <x:v>522</x:v>
      </x:c>
      <x:c r="E6" s="3" t="s">
        <x:v>523</x:v>
      </x:c>
      <x:c r="F6" s="3" t="s">
        <x:v>516</x:v>
      </x:c>
      <x:c r="G6" s="3" t="s">
        <x:v>524</x:v>
      </x:c>
      <x:c r="H6" s="3" t="s">
        <x:v>525</x:v>
      </x:c>
      <x:c r="I6" s="3" t="s">
        <x:v>526</x:v>
      </x:c>
    </x:row>
    <x:row r="7" ht="54" customHeight="1">
      <x:c r="A7" s="3" t="s">
        <x:v>527</x:v>
      </x:c>
      <x:c r="B7" s="3" t="s">
        <x:v>528</x:v>
      </x:c>
      <x:c r="C7" s="3" t="s">
        <x:v>529</x:v>
      </x:c>
      <x:c r="D7" s="3" t="s">
        <x:v>530</x:v>
      </x:c>
      <x:c r="E7" s="3" t="s">
        <x:v>531</x:v>
      </x:c>
      <x:c r="F7" s="3" t="s">
        <x:v>516</x:v>
      </x:c>
      <x:c r="G7" s="3" t="s">
        <x:v>532</x:v>
      </x:c>
      <x:c r="H7" s="3" t="s">
        <x:v>533</x:v>
      </x:c>
      <x:c r="I7" s="3" t="s">
        <x:v>534</x:v>
      </x:c>
    </x:row>
    <x:row r="8" ht="54" customHeight="1">
      <x:c r="A8" s="3" t="s">
        <x:v>535</x:v>
      </x:c>
      <x:c r="B8" s="3" t="s">
        <x:v>272</x:v>
      </x:c>
      <x:c r="C8" s="3" t="s">
        <x:v>416</x:v>
      </x:c>
      <x:c r="D8" s="3" t="s">
        <x:v>536</x:v>
      </x:c>
      <x:c r="E8" s="3" t="s">
        <x:v>537</x:v>
      </x:c>
      <x:c r="F8" s="3" t="s">
        <x:v>538</x:v>
      </x:c>
      <x:c r="G8" s="3" t="s">
        <x:v>539</x:v>
      </x:c>
      <x:c r="H8" s="3" t="s">
        <x:v>540</x:v>
      </x:c>
      <x:c r="I8" s="3" t="s">
        <x:v>541</x:v>
      </x:c>
    </x:row>
    <x:row r="9" ht="54" customHeight="1">
      <x:c r="A9" s="3" t="s">
        <x:v>542</x:v>
      </x:c>
      <x:c r="B9" s="3" t="s">
        <x:v>272</x:v>
      </x:c>
      <x:c r="C9" s="3" t="s">
        <x:v>314</x:v>
      </x:c>
      <x:c r="D9" s="3" t="s">
        <x:v>543</x:v>
      </x:c>
      <x:c r="E9" s="3" t="s">
        <x:v>544</x:v>
      </x:c>
      <x:c r="F9" s="3" t="s">
        <x:v>545</x:v>
      </x:c>
      <x:c r="G9" s="3" t="s">
        <x:v>546</x:v>
      </x:c>
      <x:c r="H9" s="3" t="s">
        <x:v>547</x:v>
      </x:c>
      <x:c r="I9" s="3" t="s">
        <x:v>548</x:v>
      </x:c>
    </x:row>
    <x:row r="10" ht="40" customHeight="1">
      <x:c r="A10" s="3" t="s">
        <x:v>549</x:v>
      </x:c>
      <x:c r="B10" s="3" t="s">
        <x:v>504</x:v>
      </x:c>
      <x:c r="C10" s="3" t="s">
        <x:v>550</x:v>
      </x:c>
      <x:c r="D10" s="3" t="s">
        <x:v>551</x:v>
      </x:c>
      <x:c r="E10" s="3" t="s">
        <x:v>552</x:v>
      </x:c>
      <x:c r="F10" s="3" t="s">
        <x:v>553</x:v>
      </x:c>
      <x:c r="G10" s="3" t="s">
        <x:v>554</x:v>
      </x:c>
      <x:c r="H10" s="3" t="s">
        <x:v>555</x:v>
      </x:c>
      <x:c r="I10" s="3" t="s">
        <x:v>556</x:v>
      </x:c>
    </x:row>
    <x:row r="11" ht="40" customHeight="1">
      <x:c r="A11" s="3" t="s">
        <x:v>557</x:v>
      </x:c>
      <x:c r="B11" s="3" t="s">
        <x:v>558</x:v>
      </x:c>
      <x:c r="C11" s="3" t="s">
        <x:v>559</x:v>
      </x:c>
      <x:c r="D11" s="3" t="s">
        <x:v>560</x:v>
      </x:c>
      <x:c r="E11" s="3" t="s">
        <x:v>561</x:v>
      </x:c>
      <x:c r="F11" s="3" t="s">
        <x:v>562</x:v>
      </x:c>
      <x:c r="G11" s="3" t="s">
        <x:v>563</x:v>
      </x:c>
      <x:c r="H11" s="3" t="s">
        <x:v>564</x:v>
      </x:c>
      <x:c r="I11" s="3" t="s">
        <x:v>565</x:v>
      </x:c>
    </x:row>
    <x:row r="12" ht="40" customHeight="1">
      <x:c r="A12" s="3" t="s">
        <x:v>566</x:v>
      </x:c>
      <x:c r="B12" s="3" t="s">
        <x:v>558</x:v>
      </x:c>
      <x:c r="C12" s="3" t="s">
        <x:v>567</x:v>
      </x:c>
      <x:c r="D12" s="3" t="s">
        <x:v>560</x:v>
      </x:c>
      <x:c r="E12" s="3" t="s">
        <x:v>561</x:v>
      </x:c>
      <x:c r="F12" s="3" t="s">
        <x:v>568</x:v>
      </x:c>
      <x:c r="G12" s="3" t="s">
        <x:v>569</x:v>
      </x:c>
      <x:c r="H12" s="3" t="s">
        <x:v>570</x:v>
      </x:c>
      <x:c r="I12" s="3" t="s">
        <x:v>571</x:v>
      </x:c>
    </x:row>
    <x:row r="13" ht="54" customHeight="1">
      <x:c r="A13" s="3" t="s">
        <x:v>572</x:v>
      </x:c>
      <x:c r="B13" s="3" t="s">
        <x:v>17</x:v>
      </x:c>
      <x:c r="C13" s="3" t="s">
        <x:v>573</x:v>
      </x:c>
      <x:c r="D13" s="3" t="s">
        <x:v>574</x:v>
      </x:c>
      <x:c r="E13" s="3" t="s">
        <x:v>575</x:v>
      </x:c>
      <x:c r="F13" s="3" t="s">
        <x:v>576</x:v>
      </x:c>
      <x:c r="G13" s="3" t="s">
        <x:v>577</x:v>
      </x:c>
      <x:c r="H13" s="3" t="s">
        <x:v>578</x:v>
      </x:c>
      <x:c r="I13" s="3" t="s">
        <x:v>579</x:v>
      </x:c>
    </x:row>
    <x:row r="14" ht="54" customHeight="1">
      <x:c r="A14" s="3" t="s">
        <x:v>580</x:v>
      </x:c>
      <x:c r="B14" s="3" t="s">
        <x:v>272</x:v>
      </x:c>
      <x:c r="C14" s="3" t="s">
        <x:v>581</x:v>
      </x:c>
      <x:c r="D14" s="3" t="s">
        <x:v>574</x:v>
      </x:c>
      <x:c r="E14" s="3" t="s">
        <x:v>582</x:v>
      </x:c>
      <x:c r="F14" s="3" t="s">
        <x:v>576</x:v>
      </x:c>
      <x:c r="G14" s="3" t="s">
        <x:v>577</x:v>
      </x:c>
      <x:c r="H14" s="3" t="s">
        <x:v>578</x:v>
      </x:c>
      <x:c r="I14" s="3" t="s">
        <x:v>583</x:v>
      </x:c>
    </x:row>
    <x:row r="15" ht="54" customHeight="1">
      <x:c r="A15" s="21" t="s">
        <x:v>584</x:v>
      </x:c>
      <x:c r="B15" s="21" t="s">
        <x:v>17</x:v>
      </x:c>
      <x:c r="C15" s="21" t="s">
        <x:v>585</x:v>
      </x:c>
      <x:c r="D15" s="21" t="s">
        <x:v>586</x:v>
      </x:c>
      <x:c r="E15" s="21" t="s">
        <x:v>587</x:v>
      </x:c>
      <x:c r="F15" s="21" t="s">
        <x:v>516</x:v>
      </x:c>
      <x:c r="G15" s="21" t="s">
        <x:v>588</x:v>
      </x:c>
      <x:c r="H15" s="21" t="s">
        <x:v>589</x:v>
      </x:c>
      <x:c r="I15" s="21" t="s">
        <x:v>590</x:v>
      </x:c>
    </x:row>
    <x:row r="16" ht="54" customHeight="1">
      <x:c r="A16" s="22" t="s">
        <x:v>591</x:v>
      </x:c>
      <x:c r="B16" s="22" t="s">
        <x:v>17</x:v>
      </x:c>
      <x:c r="C16" s="22" t="s">
        <x:v>592</x:v>
      </x:c>
      <x:c r="D16" s="22" t="s">
        <x:v>593</x:v>
      </x:c>
      <x:c r="E16" s="22" t="s">
        <x:v>594</x:v>
      </x:c>
      <x:c r="F16" s="22" t="s">
        <x:v>516</x:v>
      </x:c>
      <x:c r="G16" s="22" t="s">
        <x:v>595</x:v>
      </x:c>
      <x:c r="H16" s="22" t="s">
        <x:v>596</x:v>
      </x:c>
      <x:c r="I16" s="22" t="s">
        <x:v>597</x:v>
      </x:c>
    </x:row>
    <x:row r="17" ht="54" customHeight="1">
      <x:c r="A17" s="21" t="s">
        <x:v>598</x:v>
      </x:c>
      <x:c r="B17" s="21" t="s">
        <x:v>17</x:v>
      </x:c>
      <x:c r="C17" s="21" t="s">
        <x:v>599</x:v>
      </x:c>
      <x:c r="D17" s="21" t="s">
        <x:v>600</x:v>
      </x:c>
      <x:c r="E17" s="21" t="s">
        <x:v>601</x:v>
      </x:c>
      <x:c r="F17" s="21" t="s">
        <x:v>516</x:v>
      </x:c>
      <x:c r="G17" s="21" t="s">
        <x:v>595</x:v>
      </x:c>
      <x:c r="H17" s="21" t="s">
        <x:v>602</x:v>
      </x:c>
      <x:c r="I17" s="21" t="s">
        <x:v>597</x:v>
      </x:c>
    </x:row>
    <x:row r="18" ht="54" customHeight="1">
      <x:c r="A18" s="22" t="s">
        <x:v>603</x:v>
      </x:c>
      <x:c r="B18" s="22" t="s">
        <x:v>17</x:v>
      </x:c>
      <x:c r="C18" s="22" t="s">
        <x:v>604</x:v>
      </x:c>
      <x:c r="D18" s="22" t="s">
        <x:v>605</x:v>
      </x:c>
      <x:c r="E18" s="22" t="s">
        <x:v>606</x:v>
      </x:c>
      <x:c r="F18" s="22" t="s">
        <x:v>516</x:v>
      </x:c>
      <x:c r="G18" s="22" t="s">
        <x:v>607</x:v>
      </x:c>
      <x:c r="H18" s="22" t="s">
        <x:v>608</x:v>
      </x:c>
      <x:c r="I18" s="22" t="s">
        <x:v>609</x:v>
      </x:c>
    </x:row>
    <x:row r="19" ht="54" customHeight="1">
      <x:c r="A19" s="21" t="s">
        <x:v>610</x:v>
      </x:c>
      <x:c r="B19" s="21" t="s">
        <x:v>17</x:v>
      </x:c>
      <x:c r="C19" s="21" t="s">
        <x:v>611</x:v>
      </x:c>
      <x:c r="D19" s="21" t="s">
        <x:v>600</x:v>
      </x:c>
      <x:c r="E19" s="21" t="s">
        <x:v>612</x:v>
      </x:c>
      <x:c r="F19" s="21" t="s">
        <x:v>516</x:v>
      </x:c>
      <x:c r="G19" s="21" t="s">
        <x:v>607</x:v>
      </x:c>
      <x:c r="H19" s="21" t="s">
        <x:v>613</x:v>
      </x:c>
      <x:c r="I19" s="21" t="s">
        <x:v>597</x:v>
      </x:c>
    </x:row>
    <x:row r="20" ht="54" customHeight="1">
      <x:c r="A20" s="22" t="s">
        <x:v>614</x:v>
      </x:c>
      <x:c r="B20" s="22" t="s">
        <x:v>17</x:v>
      </x:c>
      <x:c r="C20" s="22" t="s">
        <x:v>615</x:v>
      </x:c>
      <x:c r="D20" s="22" t="s">
        <x:v>616</x:v>
      </x:c>
      <x:c r="E20" s="22" t="s">
        <x:v>617</x:v>
      </x:c>
      <x:c r="F20" s="22" t="s">
        <x:v>516</x:v>
      </x:c>
      <x:c r="G20" s="22" t="s">
        <x:v>569</x:v>
      </x:c>
      <x:c r="H20" s="22" t="s">
        <x:v>618</x:v>
      </x:c>
      <x:c r="I20" s="22" t="s">
        <x:v>619</x:v>
      </x:c>
    </x:row>
    <x:row r="21" ht="54" customHeight="1">
      <x:c r="A21" s="21" t="s">
        <x:v>620</x:v>
      </x:c>
      <x:c r="B21" s="21" t="s">
        <x:v>17</x:v>
      </x:c>
      <x:c r="C21" s="21" t="s">
        <x:v>621</x:v>
      </x:c>
      <x:c r="D21" s="21" t="s">
        <x:v>616</x:v>
      </x:c>
      <x:c r="E21" s="21" t="s">
        <x:v>622</x:v>
      </x:c>
      <x:c r="F21" s="21" t="s">
        <x:v>516</x:v>
      </x:c>
      <x:c r="G21" s="21" t="s">
        <x:v>623</x:v>
      </x:c>
      <x:c r="H21" s="21" t="s">
        <x:v>624</x:v>
      </x:c>
      <x:c r="I21" s="21" t="s">
        <x:v>619</x:v>
      </x:c>
    </x:row>
    <x:row r="22" ht="54" customHeight="1">
      <x:c r="A22" s="22" t="s">
        <x:v>625</x:v>
      </x:c>
      <x:c r="B22" s="22" t="s">
        <x:v>17</x:v>
      </x:c>
      <x:c r="C22" s="22" t="s">
        <x:v>626</x:v>
      </x:c>
      <x:c r="D22" s="22" t="s">
        <x:v>514</x:v>
      </x:c>
      <x:c r="E22" s="22" t="s">
        <x:v>627</x:v>
      </x:c>
      <x:c r="F22" s="22" t="s">
        <x:v>516</x:v>
      </x:c>
      <x:c r="G22" s="22" t="s">
        <x:v>628</x:v>
      </x:c>
      <x:c r="H22" s="22" t="s">
        <x:v>629</x:v>
      </x:c>
      <x:c r="I22" s="22" t="s">
        <x:v>630</x:v>
      </x:c>
    </x:row>
    <x:row r="23" ht="54" customHeight="1">
      <x:c r="A23" s="21" t="s">
        <x:v>631</x:v>
      </x:c>
      <x:c r="B23" s="21" t="s">
        <x:v>17</x:v>
      </x:c>
      <x:c r="C23" s="21" t="s">
        <x:v>632</x:v>
      </x:c>
      <x:c r="D23" s="21" t="s">
        <x:v>514</x:v>
      </x:c>
      <x:c r="E23" s="21" t="s">
        <x:v>633</x:v>
      </x:c>
      <x:c r="F23" s="21" t="s">
        <x:v>516</x:v>
      </x:c>
      <x:c r="G23" s="21" t="s">
        <x:v>634</x:v>
      </x:c>
      <x:c r="H23" s="21" t="s">
        <x:v>629</x:v>
      </x:c>
      <x:c r="I23" s="21" t="s">
        <x:v>630</x:v>
      </x:c>
    </x:row>
    <x:row r="24" ht="54" customHeight="1">
      <x:c r="A24" s="22" t="s">
        <x:v>635</x:v>
      </x:c>
      <x:c r="B24" s="22" t="s">
        <x:v>272</x:v>
      </x:c>
      <x:c r="C24" s="22" t="s">
        <x:v>636</x:v>
      </x:c>
      <x:c r="D24" s="22" t="s">
        <x:v>637</x:v>
      </x:c>
      <x:c r="E24" s="22" t="s">
        <x:v>638</x:v>
      </x:c>
      <x:c r="F24" s="22" t="s">
        <x:v>516</x:v>
      </x:c>
      <x:c r="G24" s="22" t="s">
        <x:v>639</x:v>
      </x:c>
      <x:c r="H24" s="22" t="s">
        <x:v>640</x:v>
      </x:c>
      <x:c r="I24" s="22" t="s">
        <x:v>641</x:v>
      </x:c>
    </x:row>
    <x:row r="25" ht="54" customHeight="1">
      <x:c r="A25" s="21" t="s">
        <x:v>642</x:v>
      </x:c>
      <x:c r="B25" s="21" t="s">
        <x:v>272</x:v>
      </x:c>
      <x:c r="C25" s="21" t="s">
        <x:v>643</x:v>
      </x:c>
      <x:c r="D25" s="21" t="s">
        <x:v>644</x:v>
      </x:c>
      <x:c r="E25" s="21" t="s">
        <x:v>645</x:v>
      </x:c>
      <x:c r="F25" s="21" t="s">
        <x:v>516</x:v>
      </x:c>
      <x:c r="G25" s="21" t="s">
        <x:v>646</x:v>
      </x:c>
      <x:c r="H25" s="21" t="s">
        <x:v>647</x:v>
      </x:c>
      <x:c r="I25" s="21" t="s">
        <x:v>648</x:v>
      </x:c>
    </x:row>
    <x:row r="26" ht="54" customHeight="1">
      <x:c r="A26" s="22" t="s">
        <x:v>649</x:v>
      </x:c>
      <x:c r="B26" s="22" t="s">
        <x:v>272</x:v>
      </x:c>
      <x:c r="C26" s="22" t="s">
        <x:v>611</x:v>
      </x:c>
      <x:c r="D26" s="22" t="s">
        <x:v>522</x:v>
      </x:c>
      <x:c r="E26" s="22" t="s">
        <x:v>650</x:v>
      </x:c>
      <x:c r="F26" s="22" t="s">
        <x:v>516</x:v>
      </x:c>
      <x:c r="G26" s="22" t="s">
        <x:v>607</x:v>
      </x:c>
      <x:c r="H26" s="22" t="s">
        <x:v>613</x:v>
      </x:c>
      <x:c r="I26" s="22" t="s">
        <x:v>651</x:v>
      </x:c>
    </x:row>
    <x:row r="27" ht="54" customHeight="1">
      <x:c r="A27" s="21" t="s">
        <x:v>652</x:v>
      </x:c>
      <x:c r="B27" s="21" t="s">
        <x:v>272</x:v>
      </x:c>
      <x:c r="C27" s="21" t="s">
        <x:v>653</x:v>
      </x:c>
      <x:c r="D27" s="21" t="s">
        <x:v>616</x:v>
      </x:c>
      <x:c r="E27" s="21" t="s">
        <x:v>654</x:v>
      </x:c>
      <x:c r="F27" s="21" t="s">
        <x:v>516</x:v>
      </x:c>
      <x:c r="G27" s="21" t="s">
        <x:v>655</x:v>
      </x:c>
      <x:c r="H27" s="21" t="s">
        <x:v>656</x:v>
      </x:c>
      <x:c r="I27" s="21" t="s">
        <x:v>648</x:v>
      </x:c>
    </x:row>
    <x:row r="28" ht="54" customHeight="1">
      <x:c r="A28" s="22" t="s">
        <x:v>657</x:v>
      </x:c>
      <x:c r="B28" s="22" t="s">
        <x:v>272</x:v>
      </x:c>
      <x:c r="C28" s="22" t="s">
        <x:v>658</x:v>
      </x:c>
      <x:c r="D28" s="22" t="s">
        <x:v>514</x:v>
      </x:c>
      <x:c r="E28" s="22" t="s">
        <x:v>659</x:v>
      </x:c>
      <x:c r="F28" s="22" t="s">
        <x:v>516</x:v>
      </x:c>
      <x:c r="G28" s="22" t="s">
        <x:v>634</x:v>
      </x:c>
      <x:c r="H28" s="22" t="s">
        <x:v>660</x:v>
      </x:c>
      <x:c r="I28" s="22" t="s">
        <x:v>648</x:v>
      </x:c>
    </x:row>
    <x:row r="29" ht="54" customHeight="1">
      <x:c r="A29" s="21" t="s">
        <x:v>661</x:v>
      </x:c>
      <x:c r="B29" s="21" t="s">
        <x:v>272</x:v>
      </x:c>
      <x:c r="C29" s="21" t="s">
        <x:v>662</x:v>
      </x:c>
      <x:c r="D29" s="21" t="s">
        <x:v>514</x:v>
      </x:c>
      <x:c r="E29" s="21" t="s">
        <x:v>663</x:v>
      </x:c>
      <x:c r="F29" s="21" t="s">
        <x:v>516</x:v>
      </x:c>
      <x:c r="G29" s="21" t="s">
        <x:v>634</x:v>
      </x:c>
      <x:c r="H29" s="21" t="s">
        <x:v>664</x:v>
      </x:c>
      <x:c r="I29" s="21" t="s">
        <x:v>665</x:v>
      </x:c>
    </x:row>
    <x:row r="30" ht="54" customHeight="1">
      <x:c r="A30" s="22" t="s">
        <x:v>666</x:v>
      </x:c>
      <x:c r="B30" s="22" t="s">
        <x:v>17</x:v>
      </x:c>
      <x:c r="C30" s="22" t="s">
        <x:v>529</x:v>
      </x:c>
      <x:c r="D30" s="22" t="s">
        <x:v>667</x:v>
      </x:c>
      <x:c r="E30" s="22" t="s">
        <x:v>531</x:v>
      </x:c>
      <x:c r="F30" s="22" t="s">
        <x:v>516</x:v>
      </x:c>
      <x:c r="G30" s="22" t="s">
        <x:v>532</x:v>
      </x:c>
      <x:c r="H30" s="22" t="s">
        <x:v>668</x:v>
      </x:c>
      <x:c r="I30" s="22" t="s">
        <x:v>669</x:v>
      </x:c>
    </x:row>
    <x:row r="31" ht="54" customHeight="1">
      <x:c r="A31" s="37" t="s">
        <x:v>670</x:v>
      </x:c>
      <x:c r="B31" s="37" t="s">
        <x:v>272</x:v>
      </x:c>
      <x:c r="C31" s="37" t="s">
        <x:v>671</x:v>
      </x:c>
      <x:c r="D31" s="37" t="s">
        <x:v>543</x:v>
      </x:c>
      <x:c r="E31" s="37" t="s">
        <x:v>672</x:v>
      </x:c>
      <x:c r="F31" s="37" t="s">
        <x:v>673</x:v>
      </x:c>
      <x:c r="G31" s="37" t="s">
        <x:v>674</x:v>
      </x:c>
      <x:c r="H31" s="37" t="s">
        <x:v>675</x:v>
      </x:c>
      <x:c r="I31" s="37" t="s">
        <x:v>676</x:v>
      </x:c>
    </x:row>
    <x:row r="32">
      <x:c r="A32" t="s">
        <x:v>677</x:v>
      </x:c>
      <x:c r="B32" t="s">
        <x:v>17</x:v>
      </x:c>
      <x:c r="C32" t="s">
        <x:v>621</x:v>
      </x:c>
      <x:c r="D32" t="s">
        <x:v>678</x:v>
      </x:c>
      <x:c r="E32" t="s">
        <x:v>679</x:v>
      </x:c>
      <x:c r="F32" t="s">
        <x:v>516</x:v>
      </x:c>
      <x:c r="G32" t="s">
        <x:v>623</x:v>
      </x:c>
      <x:c r="H32" t="s">
        <x:v>680</x:v>
      </x:c>
      <x:c r="I32" t="s">
        <x:v>681</x:v>
      </x:c>
    </x:row>
    <x:row r="33">
      <x:c r="A33" t="s">
        <x:v>682</x:v>
      </x:c>
      <x:c r="B33" t="s">
        <x:v>17</x:v>
      </x:c>
      <x:c r="C33" t="s">
        <x:v>683</x:v>
      </x:c>
      <x:c r="D33" t="s">
        <x:v>684</x:v>
      </x:c>
      <x:c r="E33" t="s">
        <x:v>685</x:v>
      </x:c>
      <x:c r="F33" t="s">
        <x:v>516</x:v>
      </x:c>
      <x:c r="G33" t="s">
        <x:v>686</x:v>
      </x:c>
      <x:c r="H33" t="s">
        <x:v>687</x:v>
      </x:c>
      <x:c r="I33" t="s">
        <x:v>688</x:v>
      </x:c>
    </x:row>
  </x:sheetData>
  <x:mergeCells>
    <x:mergeCell ref="A1:I1"/>
    <x:mergeCell ref="A2:I2"/>
  </x:mergeCells>
  <x:hyperlinks>
    <x:hyperlink xmlns:r="http://schemas.openxmlformats.org/officeDocument/2006/relationships" ref="F5" r:id="R6c9932f35b234c21"/>
  </x:hyperlinks>
  <x:pageMargins left="0.7" right="0.7" top="0.75" bottom="0.75" header="0.3" footer="0.3"/>
  <x:tableParts count="1">
    <x:tablePart xmlns:r="http://schemas.openxmlformats.org/officeDocument/2006/relationships" r:id="R7ad10868e4a74d28"/>
  </x:tableParts>
</x:worksheet>
</file>

<file path=xl/worksheets/sheet5.xml><?xml version="1.0" encoding="utf-8"?>
<x:worksheet xmlns:x="http://schemas.openxmlformats.org/spreadsheetml/2006/main">
  <x:sheetViews>
    <x:sheetView showGridLines="0" workbookViewId="0"/>
  </x:sheetViews>
  <x:sheetFormatPr baseColWidth="10" defaultColWidth="9.140625" defaultRowHeight="14.149999618530273"/>
  <x:cols>
    <x:col min="1" max="1" width="14" customWidth="1"/>
    <x:col min="2" max="2" width="16" customWidth="1"/>
    <x:col min="3" max="3" width="24" customWidth="1"/>
    <x:col min="4" max="4" width="38" customWidth="1"/>
    <x:col min="5" max="5" width="26" customWidth="1"/>
    <x:col min="6" max="6" width="40" customWidth="1"/>
    <x:col min="7" max="8" width="52" customWidth="1"/>
    <x:col min="9" max="9" width="46" customWidth="1"/>
    <x:col min="10" max="10" width="18" customWidth="1"/>
  </x:cols>
  <x:sheetData>
    <x:row r="1" ht="30" customHeight="1">
      <x:c r="A1" s="98" t="s">
        <x:v>0</x:v>
      </x:c>
      <x:c r="B1" s="98"/>
      <x:c r="C1" s="98"/>
      <x:c r="D1" s="98"/>
      <x:c r="E1" s="98"/>
      <x:c r="F1" s="98"/>
      <x:c r="G1" s="98"/>
      <x:c r="H1" s="98"/>
      <x:c r="I1" s="98"/>
      <x:c r="J1" s="98"/>
    </x:row>
    <x:row r="2" ht="40" customHeight="1">
      <x:c r="A2" s="88" t="s">
        <x:v>689</x:v>
      </x:c>
      <x:c r="B2" s="88"/>
      <x:c r="C2" s="88"/>
      <x:c r="D2" s="88"/>
      <x:c r="E2" s="88"/>
      <x:c r="F2" s="88"/>
      <x:c r="G2" s="88"/>
      <x:c r="H2" s="88"/>
      <x:c r="I2" s="88"/>
      <x:c r="J2" s="88"/>
    </x:row>
    <x:row r="3" ht="40" customHeight="1">
      <x:c r="A3" s="88"/>
      <x:c r="B3" s="88"/>
      <x:c r="C3" s="88"/>
      <x:c r="D3" s="88"/>
      <x:c r="E3" s="88"/>
      <x:c r="F3" s="88"/>
      <x:c r="G3" s="88"/>
      <x:c r="H3" s="88"/>
      <x:c r="I3" s="88"/>
      <x:c r="J3" s="88"/>
    </x:row>
    <x:row r="5">
      <x:c r="A5" s="99" t="s">
        <x:v>690</x:v>
      </x:c>
      <x:c r="B5" s="99"/>
      <x:c r="C5" s="99"/>
      <x:c r="D5" s="99"/>
      <x:c r="E5" s="99"/>
      <x:c r="F5" s="99"/>
      <x:c r="G5" s="99"/>
      <x:c r="H5" s="99"/>
      <x:c r="I5" s="99"/>
      <x:c r="J5" s="99"/>
    </x:row>
    <x:row r="6">
      <x:c r="A6" s="1" t="s">
        <x:v>691</x:v>
      </x:c>
      <x:c r="B6" s="1" t="s">
        <x:v>692</x:v>
      </x:c>
      <x:c r="C6" s="1" t="s">
        <x:v>693</x:v>
      </x:c>
      <x:c r="D6" s="1" t="s">
        <x:v>694</x:v>
      </x:c>
      <x:c r="E6" s="1" t="s">
        <x:v>695</x:v>
      </x:c>
      <x:c r="F6" s="1" t="s">
        <x:v>696</x:v>
      </x:c>
      <x:c r="G6" s="1" t="s">
        <x:v>697</x:v>
      </x:c>
      <x:c r="H6" s="1" t="s">
        <x:v>698</x:v>
      </x:c>
      <x:c r="I6" s="1" t="s">
        <x:v>699</x:v>
      </x:c>
      <x:c r="J6" s="1" t="s">
        <x:v>456</x:v>
      </x:c>
    </x:row>
    <x:row r="7" ht="40" customHeight="1">
      <x:c r="A7" s="3" t="s">
        <x:v>700</x:v>
      </x:c>
      <x:c r="B7" s="3" t="s">
        <x:v>701</x:v>
      </x:c>
      <x:c r="C7" s="4">
        <x:v>50</x:v>
      </x:c>
      <x:c r="D7" s="3" t="s">
        <x:v>702</x:v>
      </x:c>
      <x:c r="E7" s="3" t="s">
        <x:v>504</x:v>
      </x:c>
      <x:c r="F7" s="3" t="s">
        <x:v>703</x:v>
      </x:c>
      <x:c r="G7" s="3" t="s">
        <x:v>704</x:v>
      </x:c>
      <x:c r="H7" s="3" t="s">
        <x:v>705</x:v>
      </x:c>
      <x:c r="I7" s="3" t="s">
        <x:v>706</x:v>
      </x:c>
      <x:c r="J7" s="3" t="s">
        <x:v>707</x:v>
      </x:c>
    </x:row>
    <x:row r="8" ht="40" customHeight="1">
      <x:c r="A8" s="3" t="s">
        <x:v>708</x:v>
      </x:c>
      <x:c r="B8" s="3" t="s">
        <x:v>709</x:v>
      </x:c>
      <x:c r="C8" s="4">
        <x:v>30</x:v>
      </x:c>
      <x:c r="D8" s="3" t="s">
        <x:v>702</x:v>
      </x:c>
      <x:c r="E8" s="3" t="s">
        <x:v>504</x:v>
      </x:c>
      <x:c r="F8" s="3" t="s">
        <x:v>710</x:v>
      </x:c>
      <x:c r="G8" s="3" t="s">
        <x:v>704</x:v>
      </x:c>
      <x:c r="H8" s="3" t="s">
        <x:v>705</x:v>
      </x:c>
      <x:c r="I8" s="3" t="s">
        <x:v>706</x:v>
      </x:c>
      <x:c r="J8" s="3" t="s">
        <x:v>707</x:v>
      </x:c>
    </x:row>
    <x:row r="9" ht="40" customHeight="1">
      <x:c r="A9" s="3" t="s">
        <x:v>711</x:v>
      </x:c>
      <x:c r="B9" s="3" t="s">
        <x:v>712</x:v>
      </x:c>
      <x:c r="C9" s="4">
        <x:v>25</x:v>
      </x:c>
      <x:c r="D9" s="3" t="s">
        <x:v>702</x:v>
      </x:c>
      <x:c r="E9" s="3" t="s">
        <x:v>504</x:v>
      </x:c>
      <x:c r="F9" s="3" t="s">
        <x:v>713</x:v>
      </x:c>
      <x:c r="G9" s="3" t="s">
        <x:v>704</x:v>
      </x:c>
      <x:c r="H9" s="3" t="s">
        <x:v>705</x:v>
      </x:c>
      <x:c r="I9" s="3" t="s">
        <x:v>706</x:v>
      </x:c>
      <x:c r="J9" s="3" t="s">
        <x:v>707</x:v>
      </x:c>
    </x:row>
    <x:row r="10" ht="40" customHeight="1">
      <x:c r="A10" s="3" t="s">
        <x:v>714</x:v>
      </x:c>
      <x:c r="B10" s="3" t="s">
        <x:v>715</x:v>
      </x:c>
      <x:c r="C10" s="5" t="s">
        <x:v>716</x:v>
      </x:c>
      <x:c r="D10" s="3" t="s">
        <x:v>717</x:v>
      </x:c>
      <x:c r="E10" s="3" t="s">
        <x:v>504</x:v>
      </x:c>
      <x:c r="F10" s="3" t="s">
        <x:v>718</x:v>
      </x:c>
      <x:c r="G10" s="3" t="s">
        <x:v>719</x:v>
      </x:c>
      <x:c r="H10" s="3" t="s">
        <x:v>720</x:v>
      </x:c>
      <x:c r="I10" s="3" t="s">
        <x:v>721</x:v>
      </x:c>
      <x:c r="J10" s="3" t="s">
        <x:v>707</x:v>
      </x:c>
    </x:row>
    <x:row r="11" ht="40" customHeight="1">
      <x:c r="A11" s="3" t="s">
        <x:v>722</x:v>
      </x:c>
      <x:c r="B11" s="3" t="s">
        <x:v>723</x:v>
      </x:c>
      <x:c r="C11" s="5" t="s">
        <x:v>724</x:v>
      </x:c>
      <x:c r="D11" s="3" t="s">
        <x:v>725</x:v>
      </x:c>
      <x:c r="E11" s="3" t="s">
        <x:v>504</x:v>
      </x:c>
      <x:c r="F11" s="3" t="s">
        <x:v>726</x:v>
      </x:c>
      <x:c r="G11" s="3" t="s">
        <x:v>727</x:v>
      </x:c>
      <x:c r="H11" s="3" t="s">
        <x:v>728</x:v>
      </x:c>
      <x:c r="I11" s="3" t="s">
        <x:v>721</x:v>
      </x:c>
      <x:c r="J11" s="3" t="s">
        <x:v>707</x:v>
      </x:c>
    </x:row>
    <x:row r="12" ht="40" customHeight="1">
      <x:c r="A12" s="3" t="s">
        <x:v>729</x:v>
      </x:c>
      <x:c r="B12" s="3" t="s">
        <x:v>730</x:v>
      </x:c>
      <x:c r="C12" s="5" t="s">
        <x:v>731</x:v>
      </x:c>
      <x:c r="D12" s="3" t="s">
        <x:v>732</x:v>
      </x:c>
      <x:c r="E12" s="3" t="s">
        <x:v>504</x:v>
      </x:c>
      <x:c r="F12" s="3" t="s">
        <x:v>718</x:v>
      </x:c>
      <x:c r="G12" s="3" t="s">
        <x:v>733</x:v>
      </x:c>
      <x:c r="H12" s="3" t="s">
        <x:v>728</x:v>
      </x:c>
      <x:c r="I12" s="3" t="s">
        <x:v>721</x:v>
      </x:c>
      <x:c r="J12" s="3" t="s">
        <x:v>707</x:v>
      </x:c>
    </x:row>
    <x:row r="13" ht="40" customHeight="1">
      <x:c r="A13" s="3" t="s">
        <x:v>734</x:v>
      </x:c>
      <x:c r="B13" s="3" t="s">
        <x:v>735</x:v>
      </x:c>
      <x:c r="C13" s="5" t="s">
        <x:v>736</x:v>
      </x:c>
      <x:c r="D13" s="3" t="s">
        <x:v>737</x:v>
      </x:c>
      <x:c r="E13" s="3" t="s">
        <x:v>17</x:v>
      </x:c>
      <x:c r="F13" s="3" t="s">
        <x:v>718</x:v>
      </x:c>
      <x:c r="G13" s="3" t="s">
        <x:v>738</x:v>
      </x:c>
      <x:c r="H13" s="3" t="s">
        <x:v>739</x:v>
      </x:c>
      <x:c r="I13" s="3" t="s">
        <x:v>721</x:v>
      </x:c>
      <x:c r="J13" s="3" t="s">
        <x:v>707</x:v>
      </x:c>
    </x:row>
    <x:row r="14" ht="40" customHeight="1">
      <x:c r="A14" s="3" t="s">
        <x:v>740</x:v>
      </x:c>
      <x:c r="B14" s="3" t="s">
        <x:v>741</x:v>
      </x:c>
      <x:c r="C14" s="5" t="s">
        <x:v>742</x:v>
      </x:c>
      <x:c r="D14" s="3" t="s">
        <x:v>737</x:v>
      </x:c>
      <x:c r="E14" s="3" t="s">
        <x:v>272</x:v>
      </x:c>
      <x:c r="F14" s="3" t="s">
        <x:v>718</x:v>
      </x:c>
      <x:c r="G14" s="3" t="s">
        <x:v>743</x:v>
      </x:c>
      <x:c r="H14" s="3" t="s">
        <x:v>739</x:v>
      </x:c>
      <x:c r="I14" s="3" t="s">
        <x:v>721</x:v>
      </x:c>
      <x:c r="J14" s="3" t="s">
        <x:v>707</x:v>
      </x:c>
    </x:row>
    <x:row r="15" ht="40" customHeight="1">
      <x:c r="A15" s="3" t="s">
        <x:v>744</x:v>
      </x:c>
      <x:c r="B15" s="3" t="s">
        <x:v>745</x:v>
      </x:c>
      <x:c r="C15" s="5" t="s">
        <x:v>746</x:v>
      </x:c>
      <x:c r="D15" s="3" t="s">
        <x:v>747</x:v>
      </x:c>
      <x:c r="E15" s="3" t="s">
        <x:v>504</x:v>
      </x:c>
      <x:c r="F15" s="3" t="s">
        <x:v>748</x:v>
      </x:c>
      <x:c r="G15" s="3" t="s">
        <x:v>749</x:v>
      </x:c>
      <x:c r="H15" s="3" t="s">
        <x:v>728</x:v>
      </x:c>
      <x:c r="I15" s="3" t="s">
        <x:v>721</x:v>
      </x:c>
      <x:c r="J15" s="3" t="s">
        <x:v>707</x:v>
      </x:c>
    </x:row>
    <x:row r="16" ht="40" customHeight="1">
      <x:c r="A16" s="3" t="s">
        <x:v>750</x:v>
      </x:c>
      <x:c r="B16" s="3" t="s">
        <x:v>751</x:v>
      </x:c>
      <x:c r="C16" s="5" t="s">
        <x:v>752</x:v>
      </x:c>
      <x:c r="D16" s="3" t="s">
        <x:v>747</x:v>
      </x:c>
      <x:c r="E16" s="3" t="s">
        <x:v>504</x:v>
      </x:c>
      <x:c r="F16" s="3" t="s">
        <x:v>753</x:v>
      </x:c>
      <x:c r="G16" s="3" t="s">
        <x:v>754</x:v>
      </x:c>
      <x:c r="H16" s="3" t="s">
        <x:v>728</x:v>
      </x:c>
      <x:c r="I16" s="3" t="s">
        <x:v>721</x:v>
      </x:c>
      <x:c r="J16" s="3" t="s">
        <x:v>707</x:v>
      </x:c>
    </x:row>
    <x:row r="17" ht="54" customHeight="1">
      <x:c r="A17" s="3" t="s">
        <x:v>755</x:v>
      </x:c>
      <x:c r="B17" s="3" t="s">
        <x:v>756</x:v>
      </x:c>
      <x:c r="C17" s="5" t="s">
        <x:v>757</x:v>
      </x:c>
      <x:c r="D17" s="3" t="s">
        <x:v>737</x:v>
      </x:c>
      <x:c r="E17" s="3" t="s">
        <x:v>504</x:v>
      </x:c>
      <x:c r="F17" s="3" t="s">
        <x:v>758</x:v>
      </x:c>
      <x:c r="G17" s="3" t="s">
        <x:v>759</x:v>
      </x:c>
      <x:c r="H17" s="3" t="s">
        <x:v>760</x:v>
      </x:c>
      <x:c r="I17" s="3" t="s">
        <x:v>721</x:v>
      </x:c>
      <x:c r="J17" s="3" t="s">
        <x:v>707</x:v>
      </x:c>
    </x:row>
    <x:row r="18" ht="54" customHeight="1">
      <x:c r="A18" s="3" t="s">
        <x:v>761</x:v>
      </x:c>
      <x:c r="B18" s="3" t="s">
        <x:v>762</x:v>
      </x:c>
      <x:c r="C18" s="5" t="s">
        <x:v>763</x:v>
      </x:c>
      <x:c r="D18" s="3" t="s">
        <x:v>764</x:v>
      </x:c>
      <x:c r="E18" s="3" t="s">
        <x:v>272</x:v>
      </x:c>
      <x:c r="F18" s="3" t="s">
        <x:v>765</x:v>
      </x:c>
      <x:c r="G18" s="3" t="s">
        <x:v>766</x:v>
      </x:c>
      <x:c r="H18" s="3" t="s">
        <x:v>767</x:v>
      </x:c>
      <x:c r="I18" s="3" t="s">
        <x:v>768</x:v>
      </x:c>
      <x:c r="J18" s="3" t="s">
        <x:v>707</x:v>
      </x:c>
    </x:row>
    <x:row r="19" ht="40" customHeight="1">
      <x:c r="A19" s="3" t="s">
        <x:v>769</x:v>
      </x:c>
      <x:c r="B19" s="3" t="s">
        <x:v>770</x:v>
      </x:c>
      <x:c r="C19" s="5">
        <x:v>1</x:v>
      </x:c>
      <x:c r="D19" s="3" t="s">
        <x:v>771</x:v>
      </x:c>
      <x:c r="E19" s="3" t="s">
        <x:v>272</x:v>
      </x:c>
      <x:c r="F19" s="3" t="s">
        <x:v>772</x:v>
      </x:c>
      <x:c r="G19" s="3" t="s">
        <x:v>773</x:v>
      </x:c>
      <x:c r="H19" s="3" t="s">
        <x:v>774</x:v>
      </x:c>
      <x:c r="I19" s="3" t="s">
        <x:v>775</x:v>
      </x:c>
      <x:c r="J19" s="3" t="s">
        <x:v>707</x:v>
      </x:c>
    </x:row>
    <x:row r="20" ht="40" customHeight="1">
      <x:c r="A20" s="3" t="s">
        <x:v>776</x:v>
      </x:c>
      <x:c r="B20" s="3" t="s">
        <x:v>777</x:v>
      </x:c>
      <x:c r="C20" s="5" t="s">
        <x:v>778</x:v>
      </x:c>
      <x:c r="D20" s="3" t="s">
        <x:v>747</x:v>
      </x:c>
      <x:c r="E20" s="3" t="s">
        <x:v>504</x:v>
      </x:c>
      <x:c r="F20" s="3" t="s">
        <x:v>163</x:v>
      </x:c>
      <x:c r="G20" s="3" t="s">
        <x:v>779</x:v>
      </x:c>
      <x:c r="H20" s="3" t="s">
        <x:v>780</x:v>
      </x:c>
      <x:c r="I20" s="3" t="s">
        <x:v>781</x:v>
      </x:c>
      <x:c r="J20" s="3" t="s">
        <x:v>707</x:v>
      </x:c>
    </x:row>
    <x:row r="21" ht="40" customHeight="1">
      <x:c r="A21" s="3" t="s">
        <x:v>782</x:v>
      </x:c>
      <x:c r="B21" s="3" t="s">
        <x:v>783</x:v>
      </x:c>
      <x:c r="C21" s="5" t="s">
        <x:v>784</x:v>
      </x:c>
      <x:c r="D21" s="3" t="s">
        <x:v>785</x:v>
      </x:c>
      <x:c r="E21" s="3" t="s">
        <x:v>504</x:v>
      </x:c>
      <x:c r="F21" s="3" t="s">
        <x:v>718</x:v>
      </x:c>
      <x:c r="G21" s="3" t="s">
        <x:v>786</x:v>
      </x:c>
      <x:c r="H21" s="3" t="s">
        <x:v>787</x:v>
      </x:c>
      <x:c r="I21" s="3" t="s">
        <x:v>788</x:v>
      </x:c>
      <x:c r="J21" s="3" t="s">
        <x:v>707</x:v>
      </x:c>
    </x:row>
    <x:row r="22" ht="40" customHeight="1">
      <x:c r="A22" s="3" t="s">
        <x:v>789</x:v>
      </x:c>
      <x:c r="B22" s="3" t="s">
        <x:v>790</x:v>
      </x:c>
      <x:c r="C22" s="5" t="s">
        <x:v>791</x:v>
      </x:c>
      <x:c r="D22" s="3" t="s">
        <x:v>792</x:v>
      </x:c>
      <x:c r="E22" s="3" t="s">
        <x:v>504</x:v>
      </x:c>
      <x:c r="F22" s="3" t="s">
        <x:v>718</x:v>
      </x:c>
      <x:c r="G22" s="3" t="s">
        <x:v>793</x:v>
      </x:c>
      <x:c r="H22" s="3" t="s">
        <x:v>794</x:v>
      </x:c>
      <x:c r="I22" s="3" t="s">
        <x:v>768</x:v>
      </x:c>
      <x:c r="J22" s="3" t="s">
        <x:v>707</x:v>
      </x:c>
    </x:row>
    <x:row r="23" ht="40" customHeight="1">
      <x:c r="A23" s="3" t="s">
        <x:v>795</x:v>
      </x:c>
      <x:c r="B23" s="3" t="s">
        <x:v>796</x:v>
      </x:c>
      <x:c r="C23" s="5" t="s">
        <x:v>797</x:v>
      </x:c>
      <x:c r="D23" s="3" t="s">
        <x:v>798</x:v>
      </x:c>
      <x:c r="E23" s="3" t="s">
        <x:v>504</x:v>
      </x:c>
      <x:c r="F23" s="3" t="s">
        <x:v>718</x:v>
      </x:c>
      <x:c r="G23" s="3" t="s">
        <x:v>799</x:v>
      </x:c>
      <x:c r="H23" s="3" t="s">
        <x:v>800</x:v>
      </x:c>
      <x:c r="I23" s="3" t="s">
        <x:v>801</x:v>
      </x:c>
      <x:c r="J23" s="3" t="s">
        <x:v>707</x:v>
      </x:c>
    </x:row>
    <x:row r="24" ht="54" customHeight="1">
      <x:c r="A24" s="3" t="s">
        <x:v>802</x:v>
      </x:c>
      <x:c r="B24" s="3" t="s">
        <x:v>803</x:v>
      </x:c>
      <x:c r="C24" s="5" t="s">
        <x:v>804</x:v>
      </x:c>
      <x:c r="D24" s="3" t="s">
        <x:v>805</x:v>
      </x:c>
      <x:c r="E24" s="3" t="s">
        <x:v>504</x:v>
      </x:c>
      <x:c r="F24" s="3" t="s">
        <x:v>718</x:v>
      </x:c>
      <x:c r="G24" s="3" t="s">
        <x:v>806</x:v>
      </x:c>
      <x:c r="H24" s="3" t="s">
        <x:v>728</x:v>
      </x:c>
      <x:c r="I24" s="3" t="s">
        <x:v>807</x:v>
      </x:c>
      <x:c r="J24" s="3" t="s">
        <x:v>808</x:v>
      </x:c>
    </x:row>
    <x:row r="25" ht="54" customHeight="1">
      <x:c r="A25" s="3" t="s">
        <x:v>809</x:v>
      </x:c>
      <x:c r="B25" s="3" t="s">
        <x:v>810</x:v>
      </x:c>
      <x:c r="C25" s="5" t="s">
        <x:v>811</x:v>
      </x:c>
      <x:c r="D25" s="3" t="s">
        <x:v>812</x:v>
      </x:c>
      <x:c r="E25" s="3" t="s">
        <x:v>504</x:v>
      </x:c>
      <x:c r="F25" s="3" t="s">
        <x:v>718</x:v>
      </x:c>
      <x:c r="G25" s="3" t="s">
        <x:v>813</x:v>
      </x:c>
      <x:c r="H25" s="3" t="s">
        <x:v>814</x:v>
      </x:c>
      <x:c r="I25" s="3" t="s">
        <x:v>721</x:v>
      </x:c>
      <x:c r="J25" s="3" t="s">
        <x:v>707</x:v>
      </x:c>
    </x:row>
    <x:row r="26" ht="54" customHeight="1">
      <x:c r="A26" s="3" t="s">
        <x:v>815</x:v>
      </x:c>
      <x:c r="B26" s="3" t="s">
        <x:v>816</x:v>
      </x:c>
      <x:c r="C26" s="5" t="s">
        <x:v>817</x:v>
      </x:c>
      <x:c r="D26" s="3" t="s">
        <x:v>812</x:v>
      </x:c>
      <x:c r="E26" s="3" t="s">
        <x:v>504</x:v>
      </x:c>
      <x:c r="F26" s="3" t="s">
        <x:v>718</x:v>
      </x:c>
      <x:c r="G26" s="3" t="s">
        <x:v>818</x:v>
      </x:c>
      <x:c r="H26" s="3" t="s">
        <x:v>814</x:v>
      </x:c>
      <x:c r="I26" s="3" t="s">
        <x:v>721</x:v>
      </x:c>
      <x:c r="J26" s="3" t="s">
        <x:v>707</x:v>
      </x:c>
    </x:row>
    <x:row r="27" ht="54" customHeight="1">
      <x:c r="A27" s="3" t="s">
        <x:v>819</x:v>
      </x:c>
      <x:c r="B27" s="3" t="s">
        <x:v>820</x:v>
      </x:c>
      <x:c r="C27" s="5" t="s">
        <x:v>821</x:v>
      </x:c>
      <x:c r="D27" s="3" t="s">
        <x:v>737</x:v>
      </x:c>
      <x:c r="E27" s="3" t="s">
        <x:v>17</x:v>
      </x:c>
      <x:c r="F27" s="3" t="s">
        <x:v>758</x:v>
      </x:c>
      <x:c r="G27" s="3" t="s">
        <x:v>822</x:v>
      </x:c>
      <x:c r="H27" s="3" t="s">
        <x:v>823</x:v>
      </x:c>
      <x:c r="I27" s="3" t="s">
        <x:v>721</x:v>
      </x:c>
      <x:c r="J27" s="3" t="s">
        <x:v>707</x:v>
      </x:c>
    </x:row>
    <x:row r="28" ht="54" customHeight="1">
      <x:c r="A28" s="3" t="s">
        <x:v>824</x:v>
      </x:c>
      <x:c r="B28" s="3" t="s">
        <x:v>825</x:v>
      </x:c>
      <x:c r="C28" s="5" t="s">
        <x:v>826</x:v>
      </x:c>
      <x:c r="D28" s="3" t="s">
        <x:v>737</x:v>
      </x:c>
      <x:c r="E28" s="3" t="s">
        <x:v>504</x:v>
      </x:c>
      <x:c r="F28" s="3" t="s">
        <x:v>569</x:v>
      </x:c>
      <x:c r="G28" s="3" t="s">
        <x:v>827</x:v>
      </x:c>
      <x:c r="H28" s="3" t="s">
        <x:v>828</x:v>
      </x:c>
      <x:c r="I28" s="3" t="s">
        <x:v>721</x:v>
      </x:c>
      <x:c r="J28" s="3" t="s">
        <x:v>707</x:v>
      </x:c>
    </x:row>
    <x:row r="29" ht="40" customHeight="1">
      <x:c r="A29" s="3" t="s">
        <x:v>829</x:v>
      </x:c>
      <x:c r="B29" s="3" t="s">
        <x:v>830</x:v>
      </x:c>
      <x:c r="C29" s="5" t="s">
        <x:v>831</x:v>
      </x:c>
      <x:c r="D29" s="3" t="s">
        <x:v>577</x:v>
      </x:c>
      <x:c r="E29" s="3" t="s">
        <x:v>504</x:v>
      </x:c>
      <x:c r="F29" s="3" t="s">
        <x:v>718</x:v>
      </x:c>
      <x:c r="G29" s="3" t="s">
        <x:v>832</x:v>
      </x:c>
      <x:c r="H29" s="3" t="s">
        <x:v>814</x:v>
      </x:c>
      <x:c r="I29" s="3" t="s">
        <x:v>721</x:v>
      </x:c>
      <x:c r="J29" s="3" t="s">
        <x:v>707</x:v>
      </x:c>
    </x:row>
    <x:row r="30" ht="169.75">
      <x:c r="A30" s="3" t="s">
        <x:v>833</x:v>
      </x:c>
      <x:c r="B30" s="3" t="s">
        <x:v>834</x:v>
      </x:c>
      <x:c r="C30" s="3" t="s">
        <x:v>835</x:v>
      </x:c>
      <x:c r="D30" s="3" t="s">
        <x:v>747</x:v>
      </x:c>
      <x:c r="E30" s="3" t="s">
        <x:v>504</x:v>
      </x:c>
      <x:c r="F30" s="3" t="s">
        <x:v>836</x:v>
      </x:c>
      <x:c r="G30" s="3" t="s">
        <x:v>837</x:v>
      </x:c>
      <x:c r="H30" s="3" t="s">
        <x:v>838</x:v>
      </x:c>
      <x:c r="I30" s="3" t="s">
        <x:v>721</x:v>
      </x:c>
      <x:c r="J30" s="3" t="s">
        <x:v>707</x:v>
      </x:c>
    </x:row>
    <x:row r="31">
      <x:c r="A31" s="99" t="s">
        <x:v>839</x:v>
      </x:c>
      <x:c r="B31" s="99"/>
      <x:c r="C31" s="99"/>
      <x:c r="D31" s="99"/>
      <x:c r="E31" s="99"/>
      <x:c r="F31" s="99"/>
      <x:c r="G31" s="99"/>
      <x:c r="H31" s="99"/>
      <x:c r="I31" s="99"/>
      <x:c r="J31" s="99"/>
    </x:row>
    <x:row r="32" ht="44.04999923706055" customHeight="1">
      <x:c r="A32" s="100" t="s">
        <x:v>840</x:v>
      </x:c>
      <x:c r="B32" s="100"/>
      <x:c r="C32" s="100"/>
      <x:c r="D32" s="100"/>
      <x:c r="E32" s="100"/>
      <x:c r="F32" s="100"/>
      <x:c r="G32" s="100"/>
      <x:c r="H32" s="100"/>
      <x:c r="I32" s="100"/>
      <x:c r="J32" s="100"/>
    </x:row>
    <x:row r="33">
      <x:c r="A33" s="1" t="s">
        <x:v>841</x:v>
      </x:c>
      <x:c r="B33" s="1" t="s">
        <x:v>1</x:v>
      </x:c>
      <x:c r="C33" s="1" t="s">
        <x:v>842</x:v>
      </x:c>
      <x:c r="D33" s="1" t="s">
        <x:v>843</x:v>
      </x:c>
      <x:c r="E33" s="1" t="s">
        <x:v>844</x:v>
      </x:c>
      <x:c r="F33" s="1" t="s">
        <x:v>845</x:v>
      </x:c>
      <x:c r="G33" s="1" t="s">
        <x:v>846</x:v>
      </x:c>
      <x:c r="H33" s="1" t="s">
        <x:v>847</x:v>
      </x:c>
      <x:c r="I33" s="1" t="s">
        <x:v>848</x:v>
      </x:c>
      <x:c r="J33" s="3"/>
    </x:row>
    <x:row r="34" ht="64" customHeight="1">
      <x:c r="A34" s="3" t="s">
        <x:v>849</x:v>
      </x:c>
      <x:c r="B34" s="3" t="s">
        <x:v>17</x:v>
      </x:c>
      <x:c r="C34" s="3" t="s">
        <x:v>850</x:v>
      </x:c>
      <x:c r="D34" s="3" t="s">
        <x:v>851</x:v>
      </x:c>
      <x:c r="E34" s="3" t="s">
        <x:v>852</x:v>
      </x:c>
      <x:c r="F34" s="3" t="s">
        <x:v>853</x:v>
      </x:c>
      <x:c r="G34" s="3" t="s">
        <x:v>854</x:v>
      </x:c>
      <x:c r="H34" s="3" t="s">
        <x:v>855</x:v>
      </x:c>
      <x:c r="I34" s="3" t="s">
        <x:v>856</x:v>
      </x:c>
      <x:c r="J34" s="3"/>
    </x:row>
    <x:row r="35" ht="64" customHeight="1">
      <x:c r="A35" s="3" t="s">
        <x:v>857</x:v>
      </x:c>
      <x:c r="B35" s="3" t="s">
        <x:v>17</x:v>
      </x:c>
      <x:c r="C35" s="3" t="s">
        <x:v>858</x:v>
      </x:c>
      <x:c r="D35" s="3" t="s">
        <x:v>859</x:v>
      </x:c>
      <x:c r="E35" s="3" t="s">
        <x:v>852</x:v>
      </x:c>
      <x:c r="F35" s="3" t="s">
        <x:v>853</x:v>
      </x:c>
      <x:c r="G35" s="3" t="s">
        <x:v>854</x:v>
      </x:c>
      <x:c r="H35" s="3" t="s">
        <x:v>855</x:v>
      </x:c>
      <x:c r="I35" s="3" t="s">
        <x:v>856</x:v>
      </x:c>
      <x:c r="J35" s="3"/>
    </x:row>
    <x:row r="36" ht="64" customHeight="1">
      <x:c r="A36" s="3" t="s">
        <x:v>860</x:v>
      </x:c>
      <x:c r="B36" s="3" t="s">
        <x:v>17</x:v>
      </x:c>
      <x:c r="C36" s="3" t="s">
        <x:v>861</x:v>
      </x:c>
      <x:c r="D36" s="3" t="s">
        <x:v>862</x:v>
      </x:c>
      <x:c r="E36" s="3" t="s">
        <x:v>863</x:v>
      </x:c>
      <x:c r="F36" s="3" t="s">
        <x:v>853</x:v>
      </x:c>
      <x:c r="G36" s="3" t="s">
        <x:v>854</x:v>
      </x:c>
      <x:c r="H36" s="3" t="s">
        <x:v>855</x:v>
      </x:c>
      <x:c r="I36" s="3" t="s">
        <x:v>856</x:v>
      </x:c>
      <x:c r="J36" s="3"/>
    </x:row>
    <x:row r="37" ht="64" customHeight="1">
      <x:c r="A37" s="3" t="s">
        <x:v>864</x:v>
      </x:c>
      <x:c r="B37" s="3" t="s">
        <x:v>17</x:v>
      </x:c>
      <x:c r="C37" s="3" t="s">
        <x:v>865</x:v>
      </x:c>
      <x:c r="D37" s="3" t="s">
        <x:v>866</x:v>
      </x:c>
      <x:c r="E37" s="3" t="s">
        <x:v>867</x:v>
      </x:c>
      <x:c r="F37" s="3" t="s">
        <x:v>853</x:v>
      </x:c>
      <x:c r="G37" s="3" t="s">
        <x:v>854</x:v>
      </x:c>
      <x:c r="H37" s="3" t="s">
        <x:v>855</x:v>
      </x:c>
      <x:c r="I37" s="3" t="s">
        <x:v>856</x:v>
      </x:c>
      <x:c r="J37" s="3"/>
    </x:row>
    <x:row r="38" ht="64" customHeight="1">
      <x:c r="A38" s="3" t="s">
        <x:v>868</x:v>
      </x:c>
      <x:c r="B38" s="3" t="s">
        <x:v>17</x:v>
      </x:c>
      <x:c r="C38" s="3" t="s">
        <x:v>869</x:v>
      </x:c>
      <x:c r="D38" s="3" t="s">
        <x:v>870</x:v>
      </x:c>
      <x:c r="E38" s="3" t="s">
        <x:v>863</x:v>
      </x:c>
      <x:c r="F38" s="3" t="s">
        <x:v>853</x:v>
      </x:c>
      <x:c r="G38" s="3" t="s">
        <x:v>854</x:v>
      </x:c>
      <x:c r="H38" s="3" t="s">
        <x:v>855</x:v>
      </x:c>
      <x:c r="I38" s="3" t="s">
        <x:v>856</x:v>
      </x:c>
      <x:c r="J38" s="3"/>
    </x:row>
    <x:row r="39" ht="64" customHeight="1">
      <x:c r="A39" s="3" t="s">
        <x:v>871</x:v>
      </x:c>
      <x:c r="B39" s="3" t="s">
        <x:v>17</x:v>
      </x:c>
      <x:c r="C39" s="3" t="s">
        <x:v>872</x:v>
      </x:c>
      <x:c r="D39" s="3" t="s">
        <x:v>873</x:v>
      </x:c>
      <x:c r="E39" s="3" t="s">
        <x:v>852</x:v>
      </x:c>
      <x:c r="F39" s="3" t="s">
        <x:v>853</x:v>
      </x:c>
      <x:c r="G39" s="3" t="s">
        <x:v>854</x:v>
      </x:c>
      <x:c r="H39" s="3" t="s">
        <x:v>855</x:v>
      </x:c>
      <x:c r="I39" s="3" t="s">
        <x:v>856</x:v>
      </x:c>
      <x:c r="J39" s="3"/>
    </x:row>
    <x:row r="40" ht="64" customHeight="1">
      <x:c r="A40" s="3" t="s">
        <x:v>874</x:v>
      </x:c>
      <x:c r="B40" s="3" t="s">
        <x:v>272</x:v>
      </x:c>
      <x:c r="C40" s="3" t="s">
        <x:v>850</x:v>
      </x:c>
      <x:c r="D40" s="3" t="s">
        <x:v>851</x:v>
      </x:c>
      <x:c r="E40" s="3" t="s">
        <x:v>852</x:v>
      </x:c>
      <x:c r="F40" s="3" t="s">
        <x:v>853</x:v>
      </x:c>
      <x:c r="G40" s="3" t="s">
        <x:v>854</x:v>
      </x:c>
      <x:c r="H40" s="3" t="s">
        <x:v>855</x:v>
      </x:c>
      <x:c r="I40" s="3" t="s">
        <x:v>856</x:v>
      </x:c>
      <x:c r="J40" s="3"/>
    </x:row>
    <x:row r="41" ht="64" customHeight="1">
      <x:c r="A41" s="3" t="s">
        <x:v>875</x:v>
      </x:c>
      <x:c r="B41" s="3" t="s">
        <x:v>272</x:v>
      </x:c>
      <x:c r="C41" s="3" t="s">
        <x:v>858</x:v>
      </x:c>
      <x:c r="D41" s="3" t="s">
        <x:v>859</x:v>
      </x:c>
      <x:c r="E41" s="3" t="s">
        <x:v>852</x:v>
      </x:c>
      <x:c r="F41" s="3" t="s">
        <x:v>853</x:v>
      </x:c>
      <x:c r="G41" s="3" t="s">
        <x:v>854</x:v>
      </x:c>
      <x:c r="H41" s="3" t="s">
        <x:v>855</x:v>
      </x:c>
      <x:c r="I41" s="3" t="s">
        <x:v>856</x:v>
      </x:c>
      <x:c r="J41" s="3"/>
    </x:row>
    <x:row r="42" ht="64" customHeight="1">
      <x:c r="A42" s="3" t="s">
        <x:v>876</x:v>
      </x:c>
      <x:c r="B42" s="3" t="s">
        <x:v>272</x:v>
      </x:c>
      <x:c r="C42" s="3" t="s">
        <x:v>861</x:v>
      </x:c>
      <x:c r="D42" s="3" t="s">
        <x:v>862</x:v>
      </x:c>
      <x:c r="E42" s="3" t="s">
        <x:v>863</x:v>
      </x:c>
      <x:c r="F42" s="3" t="s">
        <x:v>853</x:v>
      </x:c>
      <x:c r="G42" s="3" t="s">
        <x:v>854</x:v>
      </x:c>
      <x:c r="H42" s="3" t="s">
        <x:v>855</x:v>
      </x:c>
      <x:c r="I42" s="3" t="s">
        <x:v>856</x:v>
      </x:c>
      <x:c r="J42" s="3"/>
    </x:row>
    <x:row r="43" ht="64" customHeight="1">
      <x:c r="A43" s="3" t="s">
        <x:v>877</x:v>
      </x:c>
      <x:c r="B43" s="3" t="s">
        <x:v>272</x:v>
      </x:c>
      <x:c r="C43" s="3" t="s">
        <x:v>865</x:v>
      </x:c>
      <x:c r="D43" s="3" t="s">
        <x:v>866</x:v>
      </x:c>
      <x:c r="E43" s="3" t="s">
        <x:v>867</x:v>
      </x:c>
      <x:c r="F43" s="3" t="s">
        <x:v>853</x:v>
      </x:c>
      <x:c r="G43" s="3" t="s">
        <x:v>854</x:v>
      </x:c>
      <x:c r="H43" s="3" t="s">
        <x:v>855</x:v>
      </x:c>
      <x:c r="I43" s="3" t="s">
        <x:v>856</x:v>
      </x:c>
      <x:c r="J43" s="3"/>
    </x:row>
    <x:row r="44" ht="64" customHeight="1">
      <x:c r="A44" s="3" t="s">
        <x:v>878</x:v>
      </x:c>
      <x:c r="B44" s="3" t="s">
        <x:v>272</x:v>
      </x:c>
      <x:c r="C44" s="3" t="s">
        <x:v>869</x:v>
      </x:c>
      <x:c r="D44" s="3" t="s">
        <x:v>870</x:v>
      </x:c>
      <x:c r="E44" s="3" t="s">
        <x:v>863</x:v>
      </x:c>
      <x:c r="F44" s="3" t="s">
        <x:v>853</x:v>
      </x:c>
      <x:c r="G44" s="3" t="s">
        <x:v>854</x:v>
      </x:c>
      <x:c r="H44" s="3" t="s">
        <x:v>855</x:v>
      </x:c>
      <x:c r="I44" s="3" t="s">
        <x:v>856</x:v>
      </x:c>
      <x:c r="J44" s="3"/>
    </x:row>
    <x:row r="45" ht="64" customHeight="1">
      <x:c r="A45" s="3" t="s">
        <x:v>879</x:v>
      </x:c>
      <x:c r="B45" s="3" t="s">
        <x:v>272</x:v>
      </x:c>
      <x:c r="C45" s="3" t="s">
        <x:v>872</x:v>
      </x:c>
      <x:c r="D45" s="3" t="s">
        <x:v>873</x:v>
      </x:c>
      <x:c r="E45" s="3" t="s">
        <x:v>852</x:v>
      </x:c>
      <x:c r="F45" s="3" t="s">
        <x:v>853</x:v>
      </x:c>
      <x:c r="G45" s="3" t="s">
        <x:v>854</x:v>
      </x:c>
      <x:c r="H45" s="3" t="s">
        <x:v>855</x:v>
      </x:c>
      <x:c r="I45" s="3" t="s">
        <x:v>856</x:v>
      </x:c>
      <x:c r="J45" s="3"/>
    </x:row>
    <x:row r="46" ht="64" customHeight="1">
      <x:c r="A46" s="3" t="s">
        <x:v>880</x:v>
      </x:c>
      <x:c r="B46" s="3" t="s">
        <x:v>17</x:v>
      </x:c>
      <x:c r="C46" s="3" t="s">
        <x:v>881</x:v>
      </x:c>
      <x:c r="D46" s="3" t="s">
        <x:v>882</x:v>
      </x:c>
      <x:c r="E46" s="3" t="s">
        <x:v>867</x:v>
      </x:c>
      <x:c r="F46" s="3" t="s">
        <x:v>853</x:v>
      </x:c>
      <x:c r="G46" s="3" t="s">
        <x:v>883</x:v>
      </x:c>
      <x:c r="H46" s="3" t="s">
        <x:v>884</x:v>
      </x:c>
      <x:c r="I46" s="3" t="s">
        <x:v>885</x:v>
      </x:c>
      <x:c r="J46" s="3"/>
    </x:row>
    <x:row r="47" ht="64" customHeight="1">
      <x:c r="A47" s="3" t="s">
        <x:v>886</x:v>
      </x:c>
      <x:c r="B47" s="3" t="s">
        <x:v>17</x:v>
      </x:c>
      <x:c r="C47" s="3" t="s">
        <x:v>887</x:v>
      </x:c>
      <x:c r="D47" s="3" t="s">
        <x:v>888</x:v>
      </x:c>
      <x:c r="E47" s="3" t="s">
        <x:v>852</x:v>
      </x:c>
      <x:c r="F47" s="3" t="s">
        <x:v>889</x:v>
      </x:c>
      <x:c r="G47" s="3" t="s">
        <x:v>883</x:v>
      </x:c>
      <x:c r="H47" s="3" t="s">
        <x:v>884</x:v>
      </x:c>
      <x:c r="I47" s="3" t="s">
        <x:v>885</x:v>
      </x:c>
      <x:c r="J47" s="3"/>
    </x:row>
    <x:row r="48" ht="64" customHeight="1">
      <x:c r="A48" s="3" t="s">
        <x:v>890</x:v>
      </x:c>
      <x:c r="B48" s="3" t="s">
        <x:v>17</x:v>
      </x:c>
      <x:c r="C48" s="3" t="s">
        <x:v>891</x:v>
      </x:c>
      <x:c r="D48" s="3" t="s">
        <x:v>892</x:v>
      </x:c>
      <x:c r="E48" s="3" t="s">
        <x:v>893</x:v>
      </x:c>
      <x:c r="F48" s="3" t="s">
        <x:v>889</x:v>
      </x:c>
      <x:c r="G48" s="3" t="s">
        <x:v>883</x:v>
      </x:c>
      <x:c r="H48" s="3" t="s">
        <x:v>884</x:v>
      </x:c>
      <x:c r="I48" s="3" t="s">
        <x:v>885</x:v>
      </x:c>
      <x:c r="J48" s="3"/>
    </x:row>
    <x:row r="49" ht="64" customHeight="1">
      <x:c r="A49" s="3" t="s">
        <x:v>894</x:v>
      </x:c>
      <x:c r="B49" s="3" t="s">
        <x:v>17</x:v>
      </x:c>
      <x:c r="C49" s="3" t="s">
        <x:v>895</x:v>
      </x:c>
      <x:c r="D49" s="3" t="s">
        <x:v>896</x:v>
      </x:c>
      <x:c r="E49" s="3" t="s">
        <x:v>897</x:v>
      </x:c>
      <x:c r="F49" s="3" t="s">
        <x:v>889</x:v>
      </x:c>
      <x:c r="G49" s="3" t="s">
        <x:v>883</x:v>
      </x:c>
      <x:c r="H49" s="3" t="s">
        <x:v>884</x:v>
      </x:c>
      <x:c r="I49" s="3" t="s">
        <x:v>885</x:v>
      </x:c>
      <x:c r="J49" s="3"/>
    </x:row>
    <x:row r="50" ht="64" customHeight="1">
      <x:c r="A50" s="3" t="s">
        <x:v>898</x:v>
      </x:c>
      <x:c r="B50" s="3" t="s">
        <x:v>272</x:v>
      </x:c>
      <x:c r="C50" s="3" t="s">
        <x:v>881</x:v>
      </x:c>
      <x:c r="D50" s="3" t="s">
        <x:v>882</x:v>
      </x:c>
      <x:c r="E50" s="3" t="s">
        <x:v>867</x:v>
      </x:c>
      <x:c r="F50" s="3" t="s">
        <x:v>853</x:v>
      </x:c>
      <x:c r="G50" s="3" t="s">
        <x:v>899</x:v>
      </x:c>
      <x:c r="H50" s="3" t="s">
        <x:v>900</x:v>
      </x:c>
      <x:c r="I50" s="3" t="s">
        <x:v>901</x:v>
      </x:c>
      <x:c r="J50" s="3"/>
    </x:row>
    <x:row r="51" ht="64" customHeight="1">
      <x:c r="A51" s="3" t="s">
        <x:v>902</x:v>
      </x:c>
      <x:c r="B51" s="3" t="s">
        <x:v>272</x:v>
      </x:c>
      <x:c r="C51" s="3" t="s">
        <x:v>903</x:v>
      </x:c>
      <x:c r="D51" s="3" t="s">
        <x:v>904</x:v>
      </x:c>
      <x:c r="E51" s="3" t="s">
        <x:v>905</x:v>
      </x:c>
      <x:c r="F51" s="3" t="s">
        <x:v>906</x:v>
      </x:c>
      <x:c r="G51" s="3" t="s">
        <x:v>899</x:v>
      </x:c>
      <x:c r="H51" s="3" t="s">
        <x:v>900</x:v>
      </x:c>
      <x:c r="I51" s="3" t="s">
        <x:v>901</x:v>
      </x:c>
      <x:c r="J51" s="3"/>
    </x:row>
    <x:row r="52" ht="64" customHeight="1">
      <x:c r="A52" s="3" t="s">
        <x:v>907</x:v>
      </x:c>
      <x:c r="B52" s="3" t="s">
        <x:v>17</x:v>
      </x:c>
      <x:c r="C52" s="3" t="s">
        <x:v>908</x:v>
      </x:c>
      <x:c r="D52" s="3" t="s">
        <x:v>909</x:v>
      </x:c>
      <x:c r="E52" s="3" t="s">
        <x:v>910</x:v>
      </x:c>
      <x:c r="F52" s="3" t="s">
        <x:v>889</x:v>
      </x:c>
      <x:c r="G52" s="3" t="s">
        <x:v>911</x:v>
      </x:c>
      <x:c r="H52" s="3" t="s">
        <x:v>912</x:v>
      </x:c>
      <x:c r="I52" s="3" t="s">
        <x:v>913</x:v>
      </x:c>
      <x:c r="J52" s="3"/>
    </x:row>
    <x:row r="53" ht="64" customHeight="1">
      <x:c r="A53" s="3" t="s">
        <x:v>914</x:v>
      </x:c>
      <x:c r="B53" s="3" t="s">
        <x:v>17</x:v>
      </x:c>
      <x:c r="C53" s="3" t="s">
        <x:v>915</x:v>
      </x:c>
      <x:c r="D53" s="3" t="s">
        <x:v>916</x:v>
      </x:c>
      <x:c r="E53" s="3" t="s">
        <x:v>917</x:v>
      </x:c>
      <x:c r="F53" s="3" t="s">
        <x:v>853</x:v>
      </x:c>
      <x:c r="G53" s="3" t="s">
        <x:v>911</x:v>
      </x:c>
      <x:c r="H53" s="3" t="s">
        <x:v>912</x:v>
      </x:c>
      <x:c r="I53" s="3" t="s">
        <x:v>913</x:v>
      </x:c>
      <x:c r="J53" s="3"/>
    </x:row>
    <x:row r="54" ht="64" customHeight="1">
      <x:c r="A54" s="3" t="s">
        <x:v>918</x:v>
      </x:c>
      <x:c r="B54" s="3" t="s">
        <x:v>272</x:v>
      </x:c>
      <x:c r="C54" s="3" t="s">
        <x:v>915</x:v>
      </x:c>
      <x:c r="D54" s="3" t="s">
        <x:v>916</x:v>
      </x:c>
      <x:c r="E54" s="3" t="s">
        <x:v>917</x:v>
      </x:c>
      <x:c r="F54" s="3" t="s">
        <x:v>853</x:v>
      </x:c>
      <x:c r="G54" s="3" t="s">
        <x:v>911</x:v>
      </x:c>
      <x:c r="H54" s="3" t="s">
        <x:v>912</x:v>
      </x:c>
      <x:c r="I54" s="3" t="s">
        <x:v>913</x:v>
      </x:c>
      <x:c r="J54" s="3"/>
    </x:row>
    <x:row r="55" ht="64" customHeight="1">
      <x:c r="A55" s="3" t="s">
        <x:v>919</x:v>
      </x:c>
      <x:c r="B55" s="3" t="s">
        <x:v>17</x:v>
      </x:c>
      <x:c r="C55" s="3" t="s">
        <x:v>920</x:v>
      </x:c>
      <x:c r="D55" s="3" t="s">
        <x:v>921</x:v>
      </x:c>
      <x:c r="E55" s="3" t="s">
        <x:v>922</x:v>
      </x:c>
      <x:c r="F55" s="3" t="s">
        <x:v>923</x:v>
      </x:c>
      <x:c r="G55" s="3" t="s">
        <x:v>924</x:v>
      </x:c>
      <x:c r="H55" s="3" t="s">
        <x:v>925</x:v>
      </x:c>
      <x:c r="I55" s="3" t="s">
        <x:v>926</x:v>
      </x:c>
      <x:c r="J55" s="3"/>
    </x:row>
    <x:row r="56" ht="64" customHeight="1">
      <x:c r="A56" s="3" t="s">
        <x:v>927</x:v>
      </x:c>
      <x:c r="B56" s="3" t="s">
        <x:v>17</x:v>
      </x:c>
      <x:c r="C56" s="3" t="s">
        <x:v>920</x:v>
      </x:c>
      <x:c r="D56" s="3" t="s">
        <x:v>928</x:v>
      </x:c>
      <x:c r="E56" s="3" t="s">
        <x:v>922</x:v>
      </x:c>
      <x:c r="F56" s="3" t="s">
        <x:v>923</x:v>
      </x:c>
      <x:c r="G56" s="3" t="s">
        <x:v>924</x:v>
      </x:c>
      <x:c r="H56" s="3" t="s">
        <x:v>925</x:v>
      </x:c>
      <x:c r="I56" s="3" t="s">
        <x:v>926</x:v>
      </x:c>
      <x:c r="J56" s="3"/>
    </x:row>
    <x:row r="57" ht="64" customHeight="1">
      <x:c r="A57" s="3" t="s">
        <x:v>929</x:v>
      </x:c>
      <x:c r="B57" s="3" t="s">
        <x:v>17</x:v>
      </x:c>
      <x:c r="C57" s="3" t="s">
        <x:v>920</x:v>
      </x:c>
      <x:c r="D57" s="3" t="s">
        <x:v>930</x:v>
      </x:c>
      <x:c r="E57" s="3" t="s">
        <x:v>922</x:v>
      </x:c>
      <x:c r="F57" s="3" t="s">
        <x:v>923</x:v>
      </x:c>
      <x:c r="G57" s="3" t="s">
        <x:v>924</x:v>
      </x:c>
      <x:c r="H57" s="3" t="s">
        <x:v>925</x:v>
      </x:c>
      <x:c r="I57" s="3" t="s">
        <x:v>926</x:v>
      </x:c>
      <x:c r="J57" s="3"/>
    </x:row>
    <x:row r="58" ht="64" customHeight="1">
      <x:c r="A58" s="3" t="s">
        <x:v>931</x:v>
      </x:c>
      <x:c r="B58" s="3" t="s">
        <x:v>17</x:v>
      </x:c>
      <x:c r="C58" s="3" t="s">
        <x:v>920</x:v>
      </x:c>
      <x:c r="D58" s="3" t="s">
        <x:v>932</x:v>
      </x:c>
      <x:c r="E58" s="3" t="s">
        <x:v>922</x:v>
      </x:c>
      <x:c r="F58" s="3" t="s">
        <x:v>923</x:v>
      </x:c>
      <x:c r="G58" s="3" t="s">
        <x:v>924</x:v>
      </x:c>
      <x:c r="H58" s="3" t="s">
        <x:v>925</x:v>
      </x:c>
      <x:c r="I58" s="3" t="s">
        <x:v>926</x:v>
      </x:c>
      <x:c r="J58" s="3"/>
    </x:row>
    <x:row r="59" ht="64" customHeight="1">
      <x:c r="A59" s="3" t="s">
        <x:v>933</x:v>
      </x:c>
      <x:c r="B59" s="3" t="s">
        <x:v>17</x:v>
      </x:c>
      <x:c r="C59" s="3" t="s">
        <x:v>920</x:v>
      </x:c>
      <x:c r="D59" s="3" t="s">
        <x:v>934</x:v>
      </x:c>
      <x:c r="E59" s="3" t="s">
        <x:v>922</x:v>
      </x:c>
      <x:c r="F59" s="3" t="s">
        <x:v>935</x:v>
      </x:c>
      <x:c r="G59" s="3" t="s">
        <x:v>924</x:v>
      </x:c>
      <x:c r="H59" s="3" t="s">
        <x:v>936</x:v>
      </x:c>
      <x:c r="I59" s="3" t="s">
        <x:v>937</x:v>
      </x:c>
      <x:c r="J59" s="3"/>
    </x:row>
    <x:row r="60" ht="64" customHeight="1">
      <x:c r="A60" s="3" t="s">
        <x:v>938</x:v>
      </x:c>
      <x:c r="B60" s="3" t="s">
        <x:v>17</x:v>
      </x:c>
      <x:c r="C60" s="3" t="s">
        <x:v>939</x:v>
      </x:c>
      <x:c r="D60" s="3" t="s">
        <x:v>940</x:v>
      </x:c>
      <x:c r="E60" s="3" t="s">
        <x:v>910</x:v>
      </x:c>
      <x:c r="F60" s="3" t="s">
        <x:v>889</x:v>
      </x:c>
      <x:c r="G60" s="3" t="s">
        <x:v>941</x:v>
      </x:c>
      <x:c r="H60" s="3" t="s">
        <x:v>942</x:v>
      </x:c>
      <x:c r="I60" s="3" t="s">
        <x:v>943</x:v>
      </x:c>
      <x:c r="J60" s="3"/>
    </x:row>
    <x:row r="61" ht="64" customHeight="1">
      <x:c r="A61" s="27" t="s">
        <x:v>944</x:v>
      </x:c>
      <x:c r="B61" s="27" t="s">
        <x:v>17</x:v>
      </x:c>
      <x:c r="C61" s="27" t="s">
        <x:v>945</x:v>
      </x:c>
      <x:c r="D61" s="27" t="s">
        <x:v>946</x:v>
      </x:c>
      <x:c r="E61" s="27" t="s">
        <x:v>947</x:v>
      </x:c>
      <x:c r="F61" s="27" t="s">
        <x:v>948</x:v>
      </x:c>
      <x:c r="G61" s="27" t="s">
        <x:v>949</x:v>
      </x:c>
      <x:c r="H61" s="27" t="s">
        <x:v>950</x:v>
      </x:c>
      <x:c r="I61" s="27" t="s">
        <x:v>951</x:v>
      </x:c>
      <x:c r="J61" s="27"/>
    </x:row>
    <x:row r="62">
      <x:c r="A62" t="s">
        <x:v>952</x:v>
      </x:c>
      <x:c r="B62" t="s">
        <x:v>953</x:v>
      </x:c>
      <x:c r="C62">
        <x:v>1</x:v>
      </x:c>
      <x:c r="D62" t="s">
        <x:v>954</x:v>
      </x:c>
      <x:c r="E62" t="s">
        <x:v>504</x:v>
      </x:c>
      <x:c r="F62" t="s">
        <x:v>955</x:v>
      </x:c>
      <x:c r="G62" t="s">
        <x:v>956</x:v>
      </x:c>
      <x:c r="H62" t="s">
        <x:v>957</x:v>
      </x:c>
      <x:c r="I62" t="s">
        <x:v>958</x:v>
      </x:c>
      <x:c r="J62" t="s">
        <x:v>707</x:v>
      </x:c>
    </x:row>
    <x:row r="63" ht="56.599998474121094">
      <x:c r="A63" s="34" t="s">
        <x:v>959</x:v>
      </x:c>
      <x:c r="B63" s="34" t="s">
        <x:v>960</x:v>
      </x:c>
      <x:c r="C63" s="34">
        <x:v>30</x:v>
      </x:c>
      <x:c r="D63" s="34" t="s">
        <x:v>961</x:v>
      </x:c>
      <x:c r="E63" s="34" t="s">
        <x:v>504</x:v>
      </x:c>
      <x:c r="F63" s="34" t="s">
        <x:v>569</x:v>
      </x:c>
      <x:c r="G63" s="34" t="s">
        <x:v>962</x:v>
      </x:c>
      <x:c r="H63" s="34" t="s">
        <x:v>963</x:v>
      </x:c>
      <x:c r="I63" s="34" t="s">
        <x:v>964</x:v>
      </x:c>
      <x:c r="J63" s="34" t="s">
        <x:v>707</x:v>
      </x:c>
    </x:row>
    <x:row r="64" ht="56.599998474121094">
      <x:c r="A64" s="34" t="s">
        <x:v>965</x:v>
      </x:c>
      <x:c r="B64" s="34" t="s">
        <x:v>966</x:v>
      </x:c>
      <x:c r="C64" s="34">
        <x:v>15</x:v>
      </x:c>
      <x:c r="D64" s="34" t="s">
        <x:v>967</x:v>
      </x:c>
      <x:c r="E64" s="34" t="s">
        <x:v>504</x:v>
      </x:c>
      <x:c r="F64" s="34" t="s">
        <x:v>569</x:v>
      </x:c>
      <x:c r="G64" s="34" t="s">
        <x:v>968</x:v>
      </x:c>
      <x:c r="H64" s="34" t="s">
        <x:v>969</x:v>
      </x:c>
      <x:c r="I64" s="34" t="s">
        <x:v>970</x:v>
      </x:c>
      <x:c r="J64" s="34" t="s">
        <x:v>707</x:v>
      </x:c>
    </x:row>
    <x:row r="65" ht="56.599998474121094">
      <x:c r="A65" s="34" t="s">
        <x:v>971</x:v>
      </x:c>
      <x:c r="B65" s="34" t="s">
        <x:v>972</x:v>
      </x:c>
      <x:c r="C65" s="34">
        <x:v>15</x:v>
      </x:c>
      <x:c r="D65" s="34" t="s">
        <x:v>973</x:v>
      </x:c>
      <x:c r="E65" s="34" t="s">
        <x:v>504</x:v>
      </x:c>
      <x:c r="F65" s="34" t="s">
        <x:v>974</x:v>
      </x:c>
      <x:c r="G65" s="34" t="s">
        <x:v>975</x:v>
      </x:c>
      <x:c r="H65" s="34" t="s">
        <x:v>976</x:v>
      </x:c>
      <x:c r="I65" s="34" t="s">
        <x:v>964</x:v>
      </x:c>
      <x:c r="J65" s="34" t="s">
        <x:v>707</x:v>
      </x:c>
    </x:row>
    <x:row r="66" ht="70.75">
      <x:c r="A66" s="34" t="s">
        <x:v>977</x:v>
      </x:c>
      <x:c r="B66" s="34" t="s">
        <x:v>978</x:v>
      </x:c>
      <x:c r="C66" s="34">
        <x:v>30</x:v>
      </x:c>
      <x:c r="D66" s="34" t="s">
        <x:v>792</x:v>
      </x:c>
      <x:c r="E66" s="34" t="s">
        <x:v>504</x:v>
      </x:c>
      <x:c r="F66" s="34" t="s">
        <x:v>979</x:v>
      </x:c>
      <x:c r="G66" s="34" t="s">
        <x:v>980</x:v>
      </x:c>
      <x:c r="H66" s="34" t="s">
        <x:v>981</x:v>
      </x:c>
      <x:c r="I66" s="34" t="s">
        <x:v>982</x:v>
      </x:c>
      <x:c r="J66" s="34" t="s">
        <x:v>707</x:v>
      </x:c>
    </x:row>
    <x:row r="67" ht="42.45000076293945">
      <x:c r="A67" s="34" t="s">
        <x:v>983</x:v>
      </x:c>
      <x:c r="B67" s="34" t="s">
        <x:v>984</x:v>
      </x:c>
      <x:c r="C67" s="34">
        <x:v>60</x:v>
      </x:c>
      <x:c r="D67" s="34" t="s">
        <x:v>985</x:v>
      </x:c>
      <x:c r="E67" s="34" t="s">
        <x:v>504</x:v>
      </x:c>
      <x:c r="F67" s="34" t="s">
        <x:v>974</x:v>
      </x:c>
      <x:c r="G67" s="34" t="s">
        <x:v>986</x:v>
      </x:c>
      <x:c r="H67" s="34" t="s">
        <x:v>987</x:v>
      </x:c>
      <x:c r="I67" s="34" t="s">
        <x:v>964</x:v>
      </x:c>
      <x:c r="J67" s="34" t="s">
        <x:v>707</x:v>
      </x:c>
    </x:row>
    <x:row r="68" ht="28.299999237060547">
      <x:c r="A68" s="34" t="s">
        <x:v>988</x:v>
      </x:c>
      <x:c r="B68" s="34" t="s">
        <x:v>264</x:v>
      </x:c>
      <x:c r="C68" s="34">
        <x:v>60</x:v>
      </x:c>
      <x:c r="D68" s="34" t="s">
        <x:v>989</x:v>
      </x:c>
      <x:c r="E68" s="34" t="s">
        <x:v>504</x:v>
      </x:c>
      <x:c r="F68" s="34" t="s">
        <x:v>264</x:v>
      </x:c>
      <x:c r="G68" s="34" t="s">
        <x:v>990</x:v>
      </x:c>
      <x:c r="H68" s="34" t="s">
        <x:v>991</x:v>
      </x:c>
      <x:c r="I68" s="34" t="s">
        <x:v>992</x:v>
      </x:c>
      <x:c r="J68" s="34" t="s">
        <x:v>707</x:v>
      </x:c>
    </x:row>
    <x:row r="69" ht="42.45000076293945">
      <x:c r="A69" s="34" t="s">
        <x:v>993</x:v>
      </x:c>
      <x:c r="B69" s="34" t="s">
        <x:v>994</x:v>
      </x:c>
      <x:c r="C69" s="34" t="s">
        <x:v>995</x:v>
      </x:c>
      <x:c r="D69" s="34" t="s">
        <x:v>747</x:v>
      </x:c>
      <x:c r="E69" s="34" t="s">
        <x:v>272</x:v>
      </x:c>
      <x:c r="F69" s="34" t="s">
        <x:v>569</x:v>
      </x:c>
      <x:c r="G69" s="34" t="s">
        <x:v>996</x:v>
      </x:c>
      <x:c r="H69" s="34" t="s">
        <x:v>997</x:v>
      </x:c>
      <x:c r="I69" s="34" t="s">
        <x:v>768</x:v>
      </x:c>
      <x:c r="J69" s="34" t="s">
        <x:v>707</x:v>
      </x:c>
    </x:row>
    <x:row r="70" ht="42.45000076293945">
      <x:c r="A70" s="34" t="s">
        <x:v>998</x:v>
      </x:c>
      <x:c r="B70" s="34" t="s">
        <x:v>999</x:v>
      </x:c>
      <x:c r="C70" s="34" t="s">
        <x:v>752</x:v>
      </x:c>
      <x:c r="D70" s="34" t="s">
        <x:v>1000</x:v>
      </x:c>
      <x:c r="E70" s="34" t="s">
        <x:v>272</x:v>
      </x:c>
      <x:c r="F70" s="34" t="s">
        <x:v>569</x:v>
      </x:c>
      <x:c r="G70" s="34" t="s">
        <x:v>1001</x:v>
      </x:c>
      <x:c r="H70" s="34" t="s">
        <x:v>1002</x:v>
      </x:c>
      <x:c r="I70" s="34" t="s">
        <x:v>721</x:v>
      </x:c>
      <x:c r="J70" s="34" t="s">
        <x:v>707</x:v>
      </x:c>
    </x:row>
    <x:row r="71" ht="84.9000015258789">
      <x:c r="A71" s="34" t="s">
        <x:v>1003</x:v>
      </x:c>
      <x:c r="B71" s="34" t="s">
        <x:v>1004</x:v>
      </x:c>
      <x:c r="C71" s="34" t="s">
        <x:v>1005</x:v>
      </x:c>
      <x:c r="D71" s="34" t="s">
        <x:v>1006</x:v>
      </x:c>
      <x:c r="E71" s="34" t="s">
        <x:v>504</x:v>
      </x:c>
      <x:c r="F71" s="34" t="s">
        <x:v>718</x:v>
      </x:c>
      <x:c r="G71" s="34" t="s">
        <x:v>1007</x:v>
      </x:c>
      <x:c r="H71" s="34" t="s">
        <x:v>1008</x:v>
      </x:c>
      <x:c r="I71" s="34" t="s">
        <x:v>721</x:v>
      </x:c>
      <x:c r="J71" s="34" t="s">
        <x:v>707</x:v>
      </x:c>
    </x:row>
    <x:row r="72" ht="42.45000076293945">
      <x:c r="A72" s="34" t="s">
        <x:v>1009</x:v>
      </x:c>
      <x:c r="B72" s="34" t="s">
        <x:v>1010</x:v>
      </x:c>
      <x:c r="C72" s="34">
        <x:v>30</x:v>
      </x:c>
      <x:c r="D72" s="34" t="s">
        <x:v>985</x:v>
      </x:c>
      <x:c r="E72" s="34" t="s">
        <x:v>272</x:v>
      </x:c>
      <x:c r="F72" s="34" t="s">
        <x:v>1011</x:v>
      </x:c>
      <x:c r="G72" s="34" t="s">
        <x:v>1012</x:v>
      </x:c>
      <x:c r="H72" s="34" t="s">
        <x:v>1013</x:v>
      </x:c>
      <x:c r="I72" s="34" t="s">
        <x:v>964</x:v>
      </x:c>
      <x:c r="J72" s="34" t="s">
        <x:v>707</x:v>
      </x:c>
    </x:row>
    <x:row r="73" ht="42.45000076293945">
      <x:c r="A73" s="34" t="s">
        <x:v>1014</x:v>
      </x:c>
      <x:c r="B73" s="34" t="s">
        <x:v>1015</x:v>
      </x:c>
      <x:c r="C73" s="34">
        <x:v>30</x:v>
      </x:c>
      <x:c r="D73" s="34" t="s">
        <x:v>1016</x:v>
      </x:c>
      <x:c r="E73" s="34" t="s">
        <x:v>272</x:v>
      </x:c>
      <x:c r="F73" s="34" t="s">
        <x:v>1011</x:v>
      </x:c>
      <x:c r="G73" s="34" t="s">
        <x:v>1017</x:v>
      </x:c>
      <x:c r="H73" s="34" t="s">
        <x:v>1018</x:v>
      </x:c>
      <x:c r="I73" s="34" t="s">
        <x:v>1019</x:v>
      </x:c>
      <x:c r="J73" s="34" t="s">
        <x:v>707</x:v>
      </x:c>
    </x:row>
    <x:row r="74" ht="42.45000076293945">
      <x:c r="A74" s="34" t="s">
        <x:v>1020</x:v>
      </x:c>
      <x:c r="B74" s="34" t="s">
        <x:v>1021</x:v>
      </x:c>
      <x:c r="C74" s="34">
        <x:v>60</x:v>
      </x:c>
      <x:c r="D74" s="34" t="s">
        <x:v>985</x:v>
      </x:c>
      <x:c r="E74" s="34" t="s">
        <x:v>272</x:v>
      </x:c>
      <x:c r="F74" s="34" t="s">
        <x:v>264</x:v>
      </x:c>
      <x:c r="G74" s="34" t="s">
        <x:v>1022</x:v>
      </x:c>
      <x:c r="H74" s="34" t="s">
        <x:v>1023</x:v>
      </x:c>
      <x:c r="I74" s="34" t="s">
        <x:v>964</x:v>
      </x:c>
      <x:c r="J74" s="34" t="s">
        <x:v>707</x:v>
      </x:c>
    </x:row>
    <x:row r="75" ht="28.299999237060547">
      <x:c r="A75" s="34" t="s">
        <x:v>1024</x:v>
      </x:c>
      <x:c r="B75" s="34" t="s">
        <x:v>1025</x:v>
      </x:c>
      <x:c r="C75" s="34" t="s">
        <x:v>1026</x:v>
      </x:c>
      <x:c r="D75" s="34" t="s">
        <x:v>1027</x:v>
      </x:c>
      <x:c r="E75" s="34" t="s">
        <x:v>272</x:v>
      </x:c>
      <x:c r="F75" s="34" t="s">
        <x:v>1011</x:v>
      </x:c>
      <x:c r="G75" s="34" t="s">
        <x:v>1028</x:v>
      </x:c>
      <x:c r="H75" s="34" t="s">
        <x:v>1029</x:v>
      </x:c>
      <x:c r="I75" s="34" t="s">
        <x:v>1030</x:v>
      </x:c>
      <x:c r="J75" s="34" t="s">
        <x:v>1031</x:v>
      </x:c>
    </x:row>
    <x:row r="76" ht="56.599998474121094">
      <x:c r="A76" s="34" t="s">
        <x:v>1032</x:v>
      </x:c>
      <x:c r="B76" s="34" t="s">
        <x:v>1033</x:v>
      </x:c>
      <x:c r="C76" s="34" t="s">
        <x:v>1034</x:v>
      </x:c>
      <x:c r="D76" s="34" t="s">
        <x:v>1035</x:v>
      </x:c>
      <x:c r="E76" s="34" t="s">
        <x:v>272</x:v>
      </x:c>
      <x:c r="F76" s="34" t="s">
        <x:v>1036</x:v>
      </x:c>
      <x:c r="G76" s="34" t="s">
        <x:v>1037</x:v>
      </x:c>
      <x:c r="H76" s="34" t="s">
        <x:v>1038</x:v>
      </x:c>
      <x:c r="I76" s="34" t="s">
        <x:v>1039</x:v>
      </x:c>
      <x:c r="J76" s="34" t="s">
        <x:v>1031</x:v>
      </x:c>
    </x:row>
  </x:sheetData>
  <x:mergeCells>
    <x:mergeCell ref="A1:J1"/>
    <x:mergeCell ref="A2:J3"/>
    <x:mergeCell ref="A5:J5"/>
    <x:mergeCell ref="A31:J31"/>
    <x:mergeCell ref="A32:J32"/>
  </x:mergeCells>
  <x:pageMargins left="0.7" right="0.7" top="0.75" bottom="0.75" header="0.3" footer="0.3"/>
  <x:tableParts count="2">
    <x:tablePart xmlns:r="http://schemas.openxmlformats.org/officeDocument/2006/relationships" r:id="R4c4cf71a94824235"/>
    <x:tablePart xmlns:r="http://schemas.openxmlformats.org/officeDocument/2006/relationships" r:id="Rb0f8303e8bdf4313"/>
  </x:tableParts>
</x:worksheet>
</file>

<file path=xl/worksheets/sheet6.xml><?xml version="1.0" encoding="utf-8"?>
<x:worksheet xmlns:x="http://schemas.openxmlformats.org/spreadsheetml/2006/main">
  <x:sheetViews>
    <x:sheetView showGridLines="0" workbookViewId="0"/>
  </x:sheetViews>
  <x:sheetFormatPr baseColWidth="10" defaultColWidth="9.140625" defaultRowHeight="14.149999618530273"/>
  <x:cols>
    <x:col min="1" max="1" width="28" customWidth="1"/>
    <x:col min="2" max="8" width="14.28515625" customWidth="1"/>
    <x:col min="9" max="9" width="57.42578125" customWidth="1"/>
  </x:cols>
  <x:sheetData>
    <x:row r="1" ht="30" customHeight="1">
      <x:c r="A1" s="102" t="s">
        <x:v>1040</x:v>
      </x:c>
      <x:c r="B1" s="102"/>
      <x:c r="C1" s="102"/>
      <x:c r="D1" s="102"/>
      <x:c r="E1" s="102"/>
      <x:c r="F1" s="102"/>
      <x:c r="G1" s="102"/>
      <x:c r="H1" s="102"/>
    </x:row>
    <x:row r="2">
      <x:c r="A2" s="103" t="s">
        <x:v>1041</x:v>
      </x:c>
      <x:c r="B2" s="103"/>
      <x:c r="C2" s="103"/>
      <x:c r="D2" s="103"/>
      <x:c r="E2" s="103"/>
      <x:c r="F2" s="103"/>
      <x:c r="G2" s="103"/>
      <x:c r="H2" s="103"/>
    </x:row>
    <x:row r="3" ht="17.600000381469727" customHeight="1">
      <x:c r="A3" s="19" t="s">
        <x:v>1042</x:v>
      </x:c>
      <x:c r="B3" s="104">
        <x:v>1</x:v>
      </x:c>
      <x:c r="C3" s="104"/>
      <x:c r="D3" s="104"/>
      <x:c r="E3" s="104"/>
      <x:c r="F3" s="104"/>
      <x:c r="G3" s="104"/>
      <x:c r="H3" s="104"/>
    </x:row>
    <x:row r="4" ht="17.600000381469727" customHeight="1">
      <x:c r="A4" s="19" t="s">
        <x:v>1</x:v>
      </x:c>
      <x:c r="B4" s="104" t="s">
        <x:v>17</x:v>
      </x:c>
      <x:c r="C4" s="104"/>
      <x:c r="D4" s="104"/>
      <x:c r="E4" s="104"/>
      <x:c r="F4" s="104"/>
      <x:c r="G4" s="104"/>
      <x:c r="H4" s="104"/>
    </x:row>
    <x:row r="5" ht="17.600000381469727" customHeight="1">
      <x:c r="A5" s="19" t="s">
        <x:v>1043</x:v>
      </x:c>
      <x:c r="B5" s="104" t="s">
        <x:v>1044</x:v>
      </x:c>
      <x:c r="C5" s="104"/>
      <x:c r="D5" s="104"/>
      <x:c r="E5" s="104"/>
      <x:c r="F5" s="104"/>
      <x:c r="G5" s="104"/>
      <x:c r="H5" s="104"/>
    </x:row>
    <x:row r="6" ht="161.25" customHeight="1">
      <x:c r="A6" s="20" t="s">
        <x:v>1045</x:v>
      </x:c>
      <x:c r="B6" s="108" t="str">
        <x:v>// SankeyMATIC – QZBW – nur zertifizierungsspezifische administrative Zusatzaufwände
// Aktualisiert: 04.08.2026
// Monetarisierte Tätigkeiten: 43; Summe: 1336.25 EUR
// QMS ist der einheitliche Oberbegriff. Interne Kontrollen sind Teilprozesse des QMS.
// Physische Prüfungen, Laborleistungen und nicht ausgelöste bedingte Pflichten sind ausgeschlossen.
// Die exakte Eingabereihenfolge hält Akteurs-, Rollen- und Tätigkeitsblöcke zusammen.
// === Nodes and Flows ===
Gesamt [1336.25] QZBW
QZBW [137.5] Traubenerzeuger
Traubenerzeuger [12.5] Teilnahmevereinbarung mit der Erzeugergruppe prüfen, unterzeichnen und übermitteln
Traubenerzeuger [25] Eigenkontroll-Checkliste des landwirtschaftlichen Betriebs ausfüllen und ablegen
Traubenerzeuger [50] GVO-Freiheitsbescheinigung ausfüllen beziehungsweise einholen und zusammen mit den zugehörigen Nachweisen ablegen
Traubenerzeuger [12.5] Datenschutzhinweise zur Teilnahmevereinbarung lesen und unterzeichnen
Traubenerzeuger [25] Vorhandene Betriebsnachweise für das QMS zusammenstellen und der Erzeugergruppe übermitteln
Traubenerzeuger [12.5] Umsetzung von Korrekturmaßnahmen dokumentieren und der Erzeugergruppe melden
QZBW [898.75] Genossenschaft
Genossenschaft [772.5] Administrative Tätigkeiten im QMS der Erzeugergruppe
Administrative Tätigkeiten im QMS der Erzeugergruppe [12.5] Teilnahmevereinbarung mit dem Gruppenmitglied ausfüllen, unterzeichnen und ablegen
Administrative Tätigkeiten im QMS der Erzeugergruppe [25] Kontrollvertrag beziehungsweise Kontrollauftrag prüfen, unterzeichnen und ablegen
Administrative Tätigkeiten im QMS der Erzeugergruppe [120] Excel-Meldedatei für jedes Gruppenmitglied ausfüllen und übermitteln
Administrative Tätigkeiten im QMS der Erzeugergruppe [60] Eigenkontrollcheckliste des Traubenerzeugers prüfen und Prüfergebnis dokumentieren
Administrative Tätigkeiten im QMS der Erzeugergruppe [15] Maßnahmenpläne prüfen und Prüfergebnis dokumentieren
Administrative Tätigkeiten im QMS der Erzeugergruppe [30] Pflanzenschutzaufzeichnungen prüfen und Prüfergebnis dokumentieren
Administrative Tätigkeiten im QMS der Erzeugergruppe [30] Düngemittelaufzeichnungen prüfen und Prüfergebnis dokumentieren
Administrative Tätigkeiten im QMS der Erzeugergruppe [15] Interne Audits terminieren und Auditzeitplan pflegen
Administrative Tätigkeiten im QMS der Erzeugergruppe [7.5] Mitgliedsfreigabe im Vier-Augen-Prinzip prüfen und dokumentieren
Administrative Tätigkeiten im QMS der Erzeugergruppe [15] Ernteaufzeichnungen prüfen und Prüfergebnis dokumentieren
Administrative Tätigkeiten im QMS der Erzeugergruppe [15] Verkaufszahlen prüfen und Prüfergebnis dokumentieren
Administrative Tätigkeiten im QMS der Erzeugergruppe [30] Flächenangaben prüfen und Prüfergebnis dokumentieren
Administrative Tätigkeiten im QMS der Erzeugergruppe [15] Lieferscheine prüfen und Prüfergebnis dokumentieren
Administrative Tätigkeiten im QMS der Erzeugergruppe [15] Wareneingangsdokumente prüfen und Prüfergebnis dokumentieren
Administrative Tätigkeiten im QMS der Erzeugergruppe [15] Rechnungsunterlagen prüfen und Prüfergebnis dokumentieren
Administrative Tätigkeiten im QMS der Erzeugergruppe [30] Rückverfolgbarkeitssystem anhand eines Warenbeispiels testen und Ergebnis dokumentieren
Administrative Tätigkeiten im QMS der Erzeugergruppe [15] Korrekturmaßnahmen definieren und Umsetzungsfristen dokumentieren
Administrative Tätigkeiten im QMS der Erzeugergruppe [15] Nachkontrolle durchführen und Ergebnis dokumentieren
Administrative Tätigkeiten im QMS der Erzeugergruppe [15] Beschwerden erfassen, untersuchen, klären und dokumentieren
Administrative Tätigkeiten im QMS der Erzeugergruppe [45] Kontroll- und Abweichungsprotokolle führen
Administrative Tätigkeiten im QMS der Erzeugergruppe [15] Abweichungen kategorisieren und dokumentieren
Administrative Tätigkeiten im QMS der Erzeugergruppe [120] QMS-Verfahren, Arbeitsanweisungen, Formulare und Aufzeichnungen ablegen, auf Aktualität prüfen und pflegen
Administrative Tätigkeiten im QMS der Erzeugergruppe [30] QMS-Kontrollunterlagen zusammenstellen und der Zertifizierungsstelle bereitstellen
Administrative Tätigkeiten im QMS der Erzeugergruppe [15] Verfahren zur Aufnahme neuer Mitglieder pflegen und Neuaufnahme dokumentieren
Administrative Tätigkeiten im QMS der Erzeugergruppe [15] Qualifikations-, Zulassungs- und Begleitnachweise interner Auditoren und Kontrolleure pflegen
Administrative Tätigkeiten im QMS der Erzeugergruppe [30] Schulungen planen sowie Inhalte und Teilnehmende dokumentieren
Administrative Tätigkeiten im QMS der Erzeugergruppe [7.5] Gruppenzertifikat prüfen, intern zuordnen und im QMS ablegen
Genossenschaft [126.25] Administrative Tätigkeiten als Zeichennutzer
Administrative Tätigkeiten als Zeichennutzer [25] Zeichennutzungsvertrag lesen, unterzeichnen und ablegen
Administrative Tätigkeiten als Zeichennutzer [6.25] Datenschutzhinweise zum Zeichennutzungsvertrag lesen und unterzeichnen
Administrative Tätigkeiten als Zeichennutzer [30] Eigenkontrollcheckliste des Zeichennutzers ausfüllen und ablegen
Administrative Tätigkeiten als Zeichennutzer [15] QZBW-Qualitätsnachweis beschaffen und für die Eigen- beziehungsweise Zertifizierungskontrolle bereithalten
Administrative Tätigkeiten als Zeichennutzer [50] Warenflüsse zwischen QZBW- und Nicht-QZBW-Ware trennen und nachvollziehbar dokumentieren
QZBW [270] Kontroll-/Zertifizierungsstelle
Kontroll-/Zertifizierungsstelle [120] QMS einschließlich interner Kontrollen anhand der Unterlagen verifizieren und Ergebnis dokumentieren
Kontroll-/Zertifizierungsstelle [15] Externen QMS-Kontrolltermin abstimmen und erforderliche Kontrollunterlagen anfordern
Kontroll-/Zertifizierungsstelle [120] Kontrollstellenmeldung in der vorgegebenen Excel-Datei ausfüllen und übermitteln
Kontroll-/Zertifizierungsstelle [15] Zertifizierungsentscheidung dokumentieren und Gruppenzertifikat beziehungsweise Zertifikatsdaten übermitteln
QZBW [30] Externer Lizenznehmer
Externer Lizenznehmer [30] Zeichennutzungsvertrag der Erzeugergruppe prüfen und gegenzeichnen sowie Programmanmeldung weiterleiten
// === Settings ===
size w 2000
  h 1050
margin l 8
  r 2
  t 18
  b 20
bg color #ffffff
  transparent N
node w 2
  h 44
  spacing 73
  border 0
  theme c
  color #888888
  opacity 1
flow curvature 0.26
  inheritfrom target
  color #999999
  opacity 0.45
layout order exact
  justifyorigins N
  justifyends Y
  reversegraph N
  attachincompletesto nearest
labels color #000000
  hide N
  highlight 0.55
  fontface sans-serif
  linespacing 0
  relativesize 100
  magnify 96
labelname appears Y
  size 9
  weight 400
labelvalue appears Y
  fullprecision Y
  position before
  weight 400
labelposition autoalign 0
  scheme auto
  first before
  breakpoint 7
value format '.,'
  prefix ''
  suffix ' €'
themeoffset a 6
meta mentionsankeymatic N
  listimbalances Y</x:v>
      </x:c>
      <x:c r="C6" s="109"/>
      <x:c r="D6" s="109"/>
      <x:c r="E6" s="109"/>
      <x:c r="F6" s="109"/>
      <x:c r="G6" s="109"/>
      <x:c r="H6" s="110"/>
      <x:c r="I6" s="27" t="s">
        <x:v>1046</x:v>
      </x:c>
    </x:row>
    <x:row r="7" ht="102" customHeight="1">
      <x:c r="A7" s="2"/>
      <x:c r="B7" s="2"/>
      <x:c r="C7" s="2"/>
      <x:c r="D7" s="2"/>
      <x:c r="E7" s="2"/>
      <x:c r="F7" s="2"/>
      <x:c r="G7" s="2"/>
      <x:c r="H7" s="2"/>
    </x:row>
    <x:row r="8">
      <x:c r="A8" s="103" t="s">
        <x:v>1047</x:v>
      </x:c>
      <x:c r="B8" s="103"/>
      <x:c r="C8" s="103"/>
      <x:c r="D8" s="103"/>
      <x:c r="E8" s="103"/>
      <x:c r="F8" s="103"/>
      <x:c r="G8" s="103"/>
      <x:c r="H8" s="103"/>
    </x:row>
    <x:row r="9" ht="21.549999237060547" customHeight="1">
      <x:c r="A9" s="19" t="s">
        <x:v>1042</x:v>
      </x:c>
      <x:c r="B9" s="104">
        <x:v>2</x:v>
      </x:c>
      <x:c r="C9" s="104"/>
      <x:c r="D9" s="104"/>
      <x:c r="E9" s="104"/>
      <x:c r="F9" s="104"/>
      <x:c r="G9" s="104"/>
      <x:c r="H9" s="104"/>
    </x:row>
    <x:row r="10" ht="21.549999237060547" customHeight="1">
      <x:c r="A10" s="19" t="s">
        <x:v>1</x:v>
      </x:c>
      <x:c r="B10" s="104" t="s">
        <x:v>272</x:v>
      </x:c>
      <x:c r="C10" s="104"/>
      <x:c r="D10" s="104"/>
      <x:c r="E10" s="104"/>
      <x:c r="F10" s="104"/>
      <x:c r="G10" s="104"/>
      <x:c r="H10" s="104"/>
    </x:row>
    <x:row r="11" ht="21.549999237060547" customHeight="1">
      <x:c r="A11" s="19" t="s">
        <x:v>1043</x:v>
      </x:c>
      <x:c r="B11" s="104" t="s">
        <x:v>1044</x:v>
      </x:c>
      <x:c r="C11" s="104"/>
      <x:c r="D11" s="104"/>
      <x:c r="E11" s="104"/>
      <x:c r="F11" s="104"/>
      <x:c r="G11" s="104"/>
      <x:c r="H11" s="104"/>
    </x:row>
    <x:row r="12" s="85" customFormat="1" ht="164.60000610351562" customHeight="1">
      <x:c r="A12" s="84" t="s">
        <x:v>1045</x:v>
      </x:c>
      <x:c r="B12" s="105" t="str">
        <x:v>// SankeyMATIC – BioZBW – nur zertifizierungsspezifische administrative Zusatzaufwände
// Aktualisiert: 05.08.2026
// Monetarisierte Tätigkeiten: 44; Summe: 1316.25 EUR
// QMS ist der einheitliche Oberbegriff. Interne Kontrollen sind Teilprozesse des QMS.
// Physische Prüfungen, Laborleistungen und nicht ausgelöste bedingte Pflichten sind ausgeschlossen.
// Die BioZBW-Eigenkontrollcheckliste des Traubenerzeugers wird als fachlich gesetzte Modellannahme berücksichtigt.
// Die exakte Eingabereihenfolge hält Akteurs-, Rollen- und Tätigkeitsblöcke zusammen.
// === Nodes and Flows ===
Gesamt [1316.25] BioZBW
BioZBW [87.5] Traubenerzeuger
Traubenerzeuger [12.5] Teilnahmeerklärung gegenüber der Genossenschaft als Zeichennutzerin und Unternehmergruppe prüfen, unterzeichnen und übermitteln
Traubenerzeuger [12.5] Datenschutzhinweise zur Teilnahmevereinbarung lesen und unterzeichnen
Traubenerzeuger [25] Eigenkontrollcheckliste des landwirtschaftlichen Betriebs ausfüllen und ablegen
Traubenerzeuger [25] Vorhandene Betriebsnachweise für das QMS zusammenstellen und der Unternehmergruppe übermitteln
Traubenerzeuger [12.5] Umsetzung von Korrekturmaßnahmen dokumentieren und der Unternehmergruppe melden
BioZBW [898.75] Genossenschaft
Genossenschaft [757.5] Administrative Tätigkeiten im QMS der Erzeugergruppe
Administrative Tätigkeiten im QMS der Erzeugergruppe [12.5] Teilnahmevereinbarung mit dem Gruppenmitglied ausfüllen, unterzeichnen und ablegen
Administrative Tätigkeiten im QMS der Erzeugergruppe [25] Kontrollvertrag beziehungsweise Kontrollauftrag prüfen, unterzeichnen und ablegen
Administrative Tätigkeiten im QMS der Erzeugergruppe [120] Mitglieder- und Meldedatei aktualisieren und jährlich an den Lizenznehmer übermitteln
Administrative Tätigkeiten im QMS der Erzeugergruppe [60] Eigenkontrollcheckliste und betriebliche Nachweise des Gruppenmitglieds prüfen, Prüfergebnis dokumentieren und Mitglied freigeben
Administrative Tätigkeiten im QMS der Erzeugergruppe [15] Maßnahmenpläne prüfen und Prüfergebnis dokumentieren
Administrative Tätigkeiten im QMS der Erzeugergruppe [30] Pflanzenschutzaufzeichnungen prüfen und Prüfergebnis dokumentieren
Administrative Tätigkeiten im QMS der Erzeugergruppe [30] Düngemittelaufzeichnungen prüfen und Prüfergebnis dokumentieren
Administrative Tätigkeiten im QMS der Erzeugergruppe [15] Interne Inspektionen terminieren und Inspektionsplan pflegen
Administrative Tätigkeiten im QMS der Erzeugergruppe [15] Ernteaufzeichnungen prüfen und Prüfergebnis dokumentieren
Administrative Tätigkeiten im QMS der Erzeugergruppe [15] Verkaufszahlen prüfen und Prüfergebnis dokumentieren
Administrative Tätigkeiten im QMS der Erzeugergruppe [30] Flächenangaben prüfen und Prüfergebnis dokumentieren
Administrative Tätigkeiten im QMS der Erzeugergruppe [15] Lieferscheine prüfen und Prüfergebnis dokumentieren
Administrative Tätigkeiten im QMS der Erzeugergruppe [15] Wareneingangsdokumente prüfen und Prüfergebnis dokumentieren
Administrative Tätigkeiten im QMS der Erzeugergruppe [15] Rechnungsunterlagen prüfen und Prüfergebnis dokumentieren
Administrative Tätigkeiten im QMS der Erzeugergruppe [15] Korrekturmaßnahmen definieren und Umsetzungsfristen dokumentieren
Administrative Tätigkeiten im QMS der Erzeugergruppe [15] Nachkontrolle durchführen und Ergebnis dokumentieren
Administrative Tätigkeiten im QMS der Erzeugergruppe [15] Beschwerden erfassen, untersuchen, klären und dokumentieren
Administrative Tätigkeiten im QMS der Erzeugergruppe [45] Kontroll- und Abweichungsprotokolle führen
Administrative Tätigkeiten im QMS der Erzeugergruppe [15] Abweichungen kategorisieren und dokumentieren
Administrative Tätigkeiten im QMS der Erzeugergruppe [15] Erhebliche Verstöße, Mitgliedssperren und Vermarktungsverbote an die Kontrollstelle melden
Administrative Tätigkeiten im QMS der Erzeugergruppe [120] QMS-Verfahren, Unterlagen und Aufzeichnungen erstellen, aktualisieren und bereitstellen
Administrative Tätigkeiten im QMS der Erzeugergruppe [30] QMS-Kontrollunterlagen zusammenstellen und der Kontrollstelle bereitstellen
Administrative Tätigkeiten im QMS der Erzeugergruppe [7.5] Mitgliederliste mit Kontrollstatus und Versionsstand aktualisieren
Administrative Tätigkeiten im QMS der Erzeugergruppe [15] Neue Mitglieder, Produktionseinheiten oder Tätigkeiten prüfen und Zulassung dokumentieren
Administrative Tätigkeiten im QMS der Erzeugergruppe [15] Interne QMS-Kontrolleure ernennen sowie Interessenkonflikte und Qualifikation dokumentieren
Administrative Tätigkeiten im QMS der Erzeugergruppe [30] Interne QMS-Kontrolleure und Mitglieder schulen und Schulungsnachweise pflegen
Administrative Tätigkeiten im QMS der Erzeugergruppe [7.5] Gruppenzertifikat prüfen, intern zuordnen und im QMS ablegen
Genossenschaft [141.25] Administrative Tätigkeiten als Zeichennutzer
Administrative Tätigkeiten als Zeichennutzer [25] Zeichennutzungsvertrag lesen, unterzeichnen und ablegen
Administrative Tätigkeiten als Zeichennutzer [6.25] Datenschutzhinweise zum Zeichennutzungsvertrag lesen und unterzeichnen
Administrative Tätigkeiten als Zeichennutzer [30] Eigenkontrollcheckliste des Zeichennutzers ausfüllen, aktualisieren und ablegen
Administrative Tätigkeiten als Zeichennutzer [50] Warenflüsse zwischen zertifizierten und nicht zertifizierten Produkten trennen und nachvollziehbar dokumentieren
Administrative Tätigkeiten als Zeichennutzer [15] BioZBW-Produktaufstellung aktualisieren und für Kontrollen bereitstellen
Administrative Tätigkeiten als Zeichennutzer [15] Qualitätsprüfung administrativ anmelden sowie Ergebnisnachweis zuordnen und bereithalten
BioZBW [270] Kontroll-/Zertifizierungsstelle
Kontroll-/Zertifizierungsstelle [120] QMS anhand der Unterlagen verifizieren und Ergebnis dokumentieren
Kontroll-/Zertifizierungsstelle [15] Externen QMS-Kontrolltermin abstimmen und erforderliche Kontrollunterlagen anfordern
Kontroll-/Zertifizierungsstelle [120] Prüfergebnisse dokumentieren und Quartalsmeldung an die MBW übermitteln
Kontroll-/Zertifizierungsstelle [15] Zertifizierungsentscheidung dokumentieren und Gruppenzertifikat beziehungsweise Zertifikatsdaten übermitteln
BioZBW [60] Externer Lizenznehmer
Externer Lizenznehmer [30] Zeichennutzungsvertrag der Genossenschaft prüfen und gegenzeichnen sowie Programmanmeldung weiterleiten
Externer Lizenznehmer [30] Jahresmeldung der angeschlossenen Erzeuger und Zeichennutzer erstellen und an die MBW übermitteln
// === Settings ===
size w 2000
  h 1050
margin l 8
  r 2
  t 18
  b 20
bg color #ffffff
  transparent N
node w 2
  h 44
  spacing 73
  border 0
  theme c
  color #888888
  opacity 1
flow curvature 0.26
  inheritfrom target
  color #999999
  opacity 0.45
layout order exact
  justifyorigins N
  justifyends Y
  reversegraph N
  attachincompletesto nearest
labels color #000000
  hide N
  highlight 0.55
  fontface sans-serif
  linespacing 0
  relativesize 100
  magnify 96
labelname appears Y
  size 9
  weight 400
labelvalue appears Y
  fullprecision Y
  position before
  weight 400
labelposition autoalign 0
  scheme auto
  first before
  breakpoint 7
value format '.,'
  prefix ''
  suffix ' €'
themeoffset a 6
meta mentionsankeymatic N
  listimbalances Y
</x:v>
      </x:c>
      <x:c r="C12" s="106"/>
      <x:c r="D12" s="106"/>
      <x:c r="E12" s="106"/>
      <x:c r="F12" s="106"/>
      <x:c r="G12" s="106"/>
      <x:c r="H12" s="107"/>
      <x:c r="I12" s="85" t="s">
        <x:v>1048</x:v>
      </x:c>
    </x:row>
    <x:row r="13">
      <x:c r="A13" s="2"/>
      <x:c r="B13" s="2"/>
      <x:c r="C13" s="2"/>
      <x:c r="D13" s="2"/>
      <x:c r="E13" s="2"/>
      <x:c r="F13" s="2"/>
      <x:c r="G13" s="2"/>
      <x:c r="H13" s="2"/>
    </x:row>
    <x:row r="14">
      <x:c r="A14" s="111" t="str">
        <x:v>Aktueller öffentlicher BioZBW-Link</x:v>
      </x:c>
      <x:c r="B14" s="112" t="str">
        <x:v>https://sankeymatic.com/build/?i=PTAEGUEMDsGsFMCeBZAggFQJIGFSGQCUAIQEsB7ALUIHV9RoBXAJ1AC95GAXYgM2JePb1oAcwDOogA7x%2BvUQGMAFvFCQAJgFti0YqI6NIXAG7Ly9UQZaR63AO4AT6KvgAoEKFSwO9SABsdAzgAuUAAGAFYAOhCADgiAJhC4gDZXMGRSaHgOSEZ%2Ddg5ldDsuYQRiAuhggBYqgG4IenV1eGCARgBmVqT4sNAAUQBVACVU0ABFZHBQHQ5QJ2Z4LSVyv0VlAHkAI3Zt4VzubgjQTGgCxkzQAGkMvVIfH3hoUFEtVVB0RZ8JRlI2cWUnKJxpMIqMAAoKRAveRKUBgxgAH%2B4QmEjwANKAADKQTakRgPGYox6gIRvbSKWZWUSonwAN90ym2qi0wgKcO4qwUFWerxUZlRMJ8pH%2B0FBbgAIgIiGRKFQALR9YiouA3H73NZyWB%2BBlzeBA9D6ejbTKMNj0VGMIE2YiMN6%2BIHcSCKTmgAVZFhs9JOe4waCQBTNUDbRGal4UpUcMVgSXKeAAD0gnmUipEOPYiyU0G4d1RoAUdh8sw8BSYojlGKGdwe0DlJMc72KSrKHFEmzpmuULDMkCaj1BzmcAHE9T3ZgBtDpdHoAXWlFGozhI85oY%2BiAHYImFZwarMb2GaLc4d0bHvv4Ob2KAJ3FN9vPn6A%2DB2Fq7IwUa74MqEcHdcxh9BhVER4YUgbhKR8IFyEWNZoAYDg2FyJ5SVAAZTnYTJH0YPZ6AkKRQG%2BJF0TrM42GIRRMiQ%2Btv3YTQOAKHxoCPQ091Nc8LSvVoby3UBxQMYDFHoeCFC0GxFiA1gmHee9%2DWaYxGEWaBNhyd8HiAyi3iEEjoIUCimN3U9WIvZgxzibjFWVWBVSrDUtRmAE9VAHwYFUa1OBAsDOWJQgslyeBNiBKluARe5iWQnEHmVPSTxNA9LxM7iADU8QUZzTyIHyBH8v1FFEnRlCC5hVEgIEJimLtzF7aAGRC9TfxQtDzngTDsNw5RqMYWj6MY48WNi4zONvFD1CA%2BD30MDIrjxeTPCYdRIAAfYfZonlUUhYEaR4uHTWr5nqs4MOaLC31a0Bmh8JxGKXWUr2iABOWI124%2D9AP4lKwKHR4XqqxRQPHR6N241ANC0GZ9CMQpG1KRZuWIdRgSmXa%2BkMi0WqkZwgc0bRdDB4hjAbEpm2JWH4bqpG%2BtR5Rr0Gj5iAYmT4DkhSlLfERTvKXU4cHY6pGgWjhD8eA7TMIKaoxTSzzInTQvrcLP0edHgaxvQDFxiGCehom4dK0nkfYCmr1M2drlONUfDk5XhCDaQBAUFFRFy8TjduH1rAt%2DDEW4IjxdYyWKLrO02zlxiMZB7GVbxop1fKTWScR3WjpwvDrxCWdkHKfmBHmWtkOQeBzsFvjiBUGbfDyeTaoAKzsBR8UllQVuJTE%2BEeFgDsvdrOrz4PFdB8O1abDWnmJ7W4%2DJ7nKaSFP%2BiVR5LJN6ylE1bU2WQ7Y9EyzzQAAOSdBQHfsoEucTx4%2BYF1QgQIz3oAxeFCKwvysbmNaNtOAJpbeNOOAzwXQG4eSZ%2BNArTGvdwb4wHtHIeWtJg6zHsfDi3FkALSWo8CQPgHDKEvu%2DOEHs9YPx0E%2Dday0trlyAaHZWoDI7gJhlAhGl4yZsT1uPK87Qp5gg5DANg31bbwSsNwUi5EiRPEwbVW%2Bnt76bEfqtQhm037d2AWHChkNCaQNjnQ%2BO%2BsxwsNnOKBEIh4CdyctYfhOlBHu0IiInB4jJHPyIbI0hSscYRyUYPaYNCYEMITidCc3ETj7WUCcSQ8BPBkD9mcYB21%2DbHCqlIYJGRJBOSERyIO9iQGqzAVDCBrjVHMHoUZDRrQzLnAKLw4xDA9FCJwRYu%2BqIJH4KkS%2DYh8sQ4OL7uk5RWSR5qNgV4gps4ErPl4aISwChqxmKvpE0RuDalAnqbY7aKSFFpMoRk6h2T%2BjqKYZoqeAAxNBMEYDCDTBU8xEzLE1OsdI1%2B8zmmpKcVHVZnSckbLgd42cTd4BiJhApDBlTTnVLwTMmxMjrk90WXcqhMdHnrO6UnXpoAqA5FPCyA5ohZmbR%2BSc5CkyrF1KBVckhNywX9xWZC6Bo8PH5O4kMeAAiRCiG9k5ZUYysHYvObiy5jS5FkMccS9pw8yVdIpZsuF1xGDTS8B1JB9MG68G0BE5CAxhrujtn%2DOyK08WcoWeQpZzjMn8toU8mFlM4U70UHPZ2Dw5hMEUEFGuWCkZssBRyuxhLtXgpJSoqFuSUbCu4t5GEolbTEnYI6EUYsGr0pghiF85dIlovxU00FbreUuP1e4vJmyqjcSdqbbO9ZUCbFygJOl3xSAcDWlWfKCI7VcpaYo%2B5pKDXQqFS8uFBai223KaAWAfFhB4jLlg%2BNmrXU8raamtx5KM2tsKUoNsktlD9MtBwWk814AYk%2Dt%2Dc%2BgSxVYMXXNRgM06VyVxGyGAcwpQ5qrNVS1Z0LpatHcsvlE7BVTp6QkWcpU5SLsdDWjEqEziMqwagIx2kylMvYNeoiiYvClxePK%2BswZoaQdrbclNern2GpbV4rR8M5SXvuAyyATLyo9mWshuNl58MQXopaxD5RkP3taY%2B8dazvWMJeQDVO6cz7sGXsoWik1573F0AYMwkTF0vDiSJmWJdtQuqTQ%2B3VDyBWYdfbC7iW9zzKA3TxxgN8fiqHoLEqqClljclILtZjmThGRNME5cQ74h3yfkcmsd6HWPPJ6T4hqFxP1UfPPJUA6FHh%2B1EKQa0%2DiGp6jUnPDkxAkyRLGN4PwvAe1cAmk5kFLnFMNs9Sp5tanKY4d8cF3D%2DmmDKBztxzOl4YT0FGchcAAkfB22ynvMSGCkmRRHUxpTjb00%2Bo44NI%2BrVoAIS4KlgwzLr7TB8xJPEqg%2DbITTbLSKz0RTuXHK0KorQZzuAU713LKgIKgCgvO2CgkEKMfrRCp49pTvaRC5duKhsHvnbgl2I9%2BR9CW1Ul7BqpSsGrcTdlw7t3juQUexd%2BCcVuivd4hUOrQkRIdYknDM7MEPt23Nj9xyeosHe0ByholbnuT3Yx5mD7cUcPmVnlZdUi9bI6kBG9zHz3LR8lECLasGJoPJYHbVYHxPXNWbJydinT2YfGTCFPBF5cOQIn%2BKwa0XynjjZ4HwAI3JkLki5KwfIGv%2BD5GJPCCzRnuR6BC1gtr417hG4UMzAhDTnPcrBx6iHrPKfs%2DgbOK61A5Sm8M54QZNH3x89g7IyJBVBMWuJHRlsNGQeu5u%2B78nUOqf9W4kl0uHBiiSA9mHg7Rh663uJGFiL6zHVtYdvN20S2EPpnKClQs8s%2DcrjiGuKeVG5TACgpwQ3AQ7aQecN33vBveBG5ZmISDHF30kxgClesu1%2D28aI8SOSA%2D4NvAdQCp3cySGj77xNzXgg6Uz9ef0OMfinh%2Bfpy3jqWgVD%2BS4JVSJIaFu8fnTH02hGmUwGzEGucCPnfj3kfpvlPuIInrPqwmcgCuJJlrGshNnpwPaLemHitFKMgNQKAB3OUF1MAUJj4KAePifhAefnCmARPoPnSptF8sQIZqzAgVgiNjzOrpNrMNsPbnbPvA9v3uwainxE8LgXRF3IuDKNgWOJPLOH0FfsFswE3Jwq3E1IdM4DIX4vIc3GNm3MZDhhLtDp9mIDjkRnVOtmpJttNpEqiMqETs8OFlKKbnsKRjAGgazLlABoPKobIY1BoYodocwlPAAFL%2BjySiAuGWy7QHJ6jOhfTEhsbMDIR6EZ5BZLp5wNYywYHabYHCH4EvBsCgA2CgAJAhAhDOCgB5igCtDhAlH7rCCP4%2BCgDRClGgDMBxBNGzCtCNFlGbCFElGbCWxyB3B4igAADEBwYx3AbR%2Bg0SiKpw28zgAETg%2BRhRTRCgoANQTRkgToLIoAa47QTRuIgBoQbRSggYcgTRAxQozAwx0QNxtxTRpAEgWxHAiAFRzgHI4WoAcgTAhgomgWIQ8QKQZRSw7A5Qf8pAcM2Q98HA5xgxVxt08JCJ9xjxcg5QLx%2DxWazgTkiApAgkoAH%2BCwCYcg0JZRFcZgE22JuQtRVUcxJJZJPAiAjw58oAAAmk0fJHJEBI4RIKsVvE0QYNkIoFoAMeoKglkHqOWnQPAIiroJiWmCdhcUMcMcUcqSUWUcJIsbyWqUqCMtqbMP8WEGEE0dmKcI6HIMoOYFVHKEBPsE0X4JkJsSiazKqc0XnH3LkcoJUc6XNMINoNwC8bdCkE5NsHTIGJAK1DkECKyWUe6aALdE0blMIHrlUMUbKcGT8S1soGGVIBGSyUafVl8PJCiZJk8FGfhMKOUCElbAAS4GUQmUmSmUGXnBIOWelndoJKQKXD6UcdGWsKGe2UaTaLoFWXiDWUGPJImM2VoLMCkOmfQPlHiHNLMAAOQRBohLlNHfAfLEBxigBLnrnRnWC8A7lLmgCAA1BOuRwCcfAKQAcCNCoKAICUGN2Z8c%2BW8NUVkJAKdDInEjAAgIgIuWRDSY5DMLDEpAkmaZGUAA</x:v>
      </x:c>
      <x:c r="C14" s="2"/>
      <x:c r="D14" s="2"/>
      <x:c r="E14" s="2"/>
      <x:c r="F14" s="2"/>
      <x:c r="G14" s="2"/>
      <x:c r="H14" s="2"/>
    </x:row>
  </x:sheetData>
  <x:mergeCells>
    <x:mergeCell ref="B12:H12"/>
    <x:mergeCell ref="B11:H11"/>
    <x:mergeCell ref="B6:H6"/>
    <x:mergeCell ref="A8:H8"/>
    <x:mergeCell ref="B9:H9"/>
    <x:mergeCell ref="B10:H10"/>
    <x:mergeCell ref="A1:H1"/>
    <x:mergeCell ref="A2:H2"/>
    <x:mergeCell ref="B3:H3"/>
    <x:mergeCell ref="B4:H4"/>
    <x:mergeCell ref="B5:H5"/>
  </x:mergeCells>
  <x:pageMargins left="0.7" right="0.7" top="0.75" bottom="0.75" header="0.3" footer="0.3"/>
  <x:drawing xmlns:r="http://schemas.openxmlformats.org/officeDocument/2006/relationships" r:id="Rb24d35f8d8e7420c"/>
</x:worksheet>
</file>