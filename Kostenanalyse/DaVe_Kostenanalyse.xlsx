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8_{80F244E6-7309-4825-AF83-E1092B211430}" xr6:coauthVersionLast="47" xr6:coauthVersionMax="47" xr10:uidLastSave="{00000000-0000-0000-0000-000000000000}"/>
  <bookViews>
    <workbookView xWindow="-103" yWindow="-103" windowWidth="16663" windowHeight="8743" activeTab="8" xr2:uid="{00000000-000D-0000-FFFF-FFFF00000000}"/>
  </bookViews>
  <sheets>
    <sheet name="Anford_QZBW_zert_spez" sheetId="8" r:id="rId1"/>
    <sheet name="Anford_BioZBW_zert_spez" sheetId="9" r:id="rId2"/>
    <sheet name="Kostenrechnung" sheetId="3" r:id="rId3"/>
    <sheet name="Quellen" sheetId="4" r:id="rId4"/>
    <sheet name="Annahmen" sheetId="5" r:id="rId5"/>
    <sheet name="Protokoll" sheetId="6" r:id="rId6"/>
    <sheet name="SankeyMATIC-Codes" sheetId="7" r:id="rId7"/>
    <sheet name="Anforderungen_admin_QZBW" sheetId="10" r:id="rId8"/>
    <sheet name="Anforderungen_admin_BioZBW" sheetId="12"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6" i="12" l="1"/>
  <c r="P66" i="12" s="1"/>
  <c r="N65" i="12"/>
  <c r="P65" i="12" s="1"/>
  <c r="N64" i="12"/>
  <c r="P64" i="12" s="1"/>
  <c r="N63" i="12"/>
  <c r="P63" i="12" s="1"/>
  <c r="N62" i="12"/>
  <c r="P62" i="12" s="1"/>
  <c r="N61" i="12"/>
  <c r="P61" i="12" s="1"/>
  <c r="N60" i="12"/>
  <c r="P60" i="12" s="1"/>
  <c r="N59" i="12"/>
  <c r="P59" i="12" s="1"/>
  <c r="N58" i="12"/>
  <c r="P58" i="12" s="1"/>
  <c r="N57" i="12"/>
  <c r="P57" i="12" s="1"/>
  <c r="N56" i="12"/>
  <c r="P56" i="12" s="1"/>
  <c r="N55" i="12"/>
  <c r="P55" i="12" s="1"/>
  <c r="N54" i="12"/>
  <c r="P54" i="12" s="1"/>
  <c r="N53" i="12"/>
  <c r="P53" i="12" s="1"/>
  <c r="N52" i="12"/>
  <c r="P52" i="12" s="1"/>
  <c r="N51" i="12"/>
  <c r="P51" i="12" s="1"/>
  <c r="N50" i="12"/>
  <c r="P50" i="12" s="1"/>
  <c r="N49" i="12"/>
  <c r="P49" i="12" s="1"/>
  <c r="N48" i="12"/>
  <c r="P48" i="12" s="1"/>
  <c r="N47" i="12"/>
  <c r="P47" i="12" s="1"/>
  <c r="N46" i="12"/>
  <c r="P46" i="12" s="1"/>
  <c r="N45" i="12"/>
  <c r="P45" i="12" s="1"/>
  <c r="N44" i="12"/>
  <c r="P44" i="12" s="1"/>
  <c r="N43" i="12"/>
  <c r="P43" i="12" s="1"/>
  <c r="N42" i="12"/>
  <c r="P42" i="12" s="1"/>
  <c r="N41" i="12"/>
  <c r="P41" i="12" s="1"/>
  <c r="N40" i="12"/>
  <c r="P40" i="12" s="1"/>
  <c r="N39" i="12"/>
  <c r="P39" i="12" s="1"/>
  <c r="N38" i="12"/>
  <c r="P38" i="12" s="1"/>
  <c r="N37" i="12"/>
  <c r="P37" i="12" s="1"/>
  <c r="N36" i="12"/>
  <c r="P36" i="12" s="1"/>
  <c r="N35" i="12"/>
  <c r="P35" i="12" s="1"/>
  <c r="N34" i="12"/>
  <c r="P34" i="12" s="1"/>
  <c r="N33" i="12"/>
  <c r="P33" i="12" s="1"/>
  <c r="N32" i="12"/>
  <c r="P32" i="12" s="1"/>
  <c r="N31" i="12"/>
  <c r="P31" i="12" s="1"/>
  <c r="N30" i="12"/>
  <c r="P30" i="12" s="1"/>
  <c r="N29" i="12"/>
  <c r="P29" i="12" s="1"/>
  <c r="N28" i="12"/>
  <c r="P28" i="12" s="1"/>
  <c r="N27" i="12"/>
  <c r="P27" i="12" s="1"/>
  <c r="N26" i="12"/>
  <c r="P26" i="12" s="1"/>
  <c r="N25" i="12"/>
  <c r="P25" i="12" s="1"/>
  <c r="N24" i="12"/>
  <c r="P24" i="12" s="1"/>
  <c r="N23" i="12"/>
  <c r="P23" i="12" s="1"/>
  <c r="N22" i="12"/>
  <c r="P22" i="12" s="1"/>
  <c r="N21" i="12"/>
  <c r="P21" i="12" s="1"/>
  <c r="N20" i="12"/>
  <c r="P20" i="12" s="1"/>
  <c r="N19" i="12"/>
  <c r="P19" i="12" s="1"/>
  <c r="N18" i="12"/>
  <c r="P18" i="12" s="1"/>
  <c r="N17" i="12"/>
  <c r="P17" i="12" s="1"/>
  <c r="N16" i="12"/>
  <c r="P16" i="12" s="1"/>
  <c r="N15" i="12"/>
  <c r="P15" i="12" s="1"/>
  <c r="N14" i="12"/>
  <c r="P14" i="12" s="1"/>
  <c r="N13" i="12"/>
  <c r="P13" i="12" s="1"/>
  <c r="N12" i="12"/>
  <c r="P12" i="12" s="1"/>
  <c r="N11" i="12"/>
  <c r="P11" i="12" s="1"/>
  <c r="N10" i="12"/>
  <c r="P10" i="12" s="1"/>
  <c r="N9" i="12"/>
  <c r="P9" i="12" s="1"/>
  <c r="N8" i="12"/>
  <c r="P8" i="12" s="1"/>
  <c r="N7" i="12"/>
  <c r="P7" i="12" s="1"/>
  <c r="N6" i="12"/>
  <c r="P6" i="12" s="1"/>
  <c r="N5" i="12"/>
  <c r="P5" i="12" s="1"/>
  <c r="N4" i="12"/>
  <c r="P4" i="12" s="1"/>
  <c r="N3" i="12"/>
  <c r="P3" i="12" s="1"/>
  <c r="N2" i="12"/>
  <c r="P2" i="12" s="1"/>
  <c r="N68" i="10"/>
  <c r="P68" i="10" s="1"/>
  <c r="N67" i="10"/>
  <c r="P67" i="10" s="1"/>
  <c r="N66" i="10"/>
  <c r="P66" i="10" s="1"/>
  <c r="N65" i="10"/>
  <c r="P65" i="10" s="1"/>
  <c r="N64" i="10"/>
  <c r="P64" i="10" s="1"/>
  <c r="N63" i="10"/>
  <c r="P63" i="10" s="1"/>
  <c r="N62" i="10"/>
  <c r="P62" i="10" s="1"/>
  <c r="N61" i="10"/>
  <c r="P61" i="10" s="1"/>
  <c r="N60" i="10"/>
  <c r="P60" i="10" s="1"/>
  <c r="N59" i="10"/>
  <c r="P59" i="10" s="1"/>
  <c r="N58" i="10"/>
  <c r="P58" i="10" s="1"/>
  <c r="N57" i="10"/>
  <c r="P57" i="10" s="1"/>
  <c r="N56" i="10"/>
  <c r="P56" i="10" s="1"/>
  <c r="N55" i="10"/>
  <c r="P55" i="10" s="1"/>
  <c r="N54" i="10"/>
  <c r="P54" i="10" s="1"/>
  <c r="N53" i="10"/>
  <c r="P53" i="10" s="1"/>
  <c r="N52" i="10"/>
  <c r="P52" i="10" s="1"/>
  <c r="N51" i="10"/>
  <c r="P51" i="10" s="1"/>
  <c r="N50" i="10"/>
  <c r="P50" i="10" s="1"/>
  <c r="N49" i="10"/>
  <c r="P49" i="10" s="1"/>
  <c r="N48" i="10"/>
  <c r="P48" i="10" s="1"/>
  <c r="N47" i="10"/>
  <c r="P47" i="10" s="1"/>
  <c r="N46" i="10"/>
  <c r="P46" i="10" s="1"/>
  <c r="N45" i="10"/>
  <c r="P45" i="10" s="1"/>
  <c r="N44" i="10"/>
  <c r="P44" i="10" s="1"/>
  <c r="N43" i="10"/>
  <c r="P43" i="10" s="1"/>
  <c r="N42" i="10"/>
  <c r="P42" i="10" s="1"/>
  <c r="N41" i="10"/>
  <c r="P41" i="10" s="1"/>
  <c r="N40" i="10"/>
  <c r="P40" i="10" s="1"/>
  <c r="N39" i="10"/>
  <c r="P39" i="10" s="1"/>
  <c r="N38" i="10"/>
  <c r="P38" i="10" s="1"/>
  <c r="N37" i="10"/>
  <c r="P37" i="10" s="1"/>
  <c r="N36" i="10"/>
  <c r="P36" i="10" s="1"/>
  <c r="N35" i="10"/>
  <c r="P35" i="10" s="1"/>
  <c r="N34" i="10"/>
  <c r="P34" i="10" s="1"/>
  <c r="N33" i="10"/>
  <c r="P33" i="10" s="1"/>
  <c r="N32" i="10"/>
  <c r="P32" i="10" s="1"/>
  <c r="N31" i="10"/>
  <c r="P31" i="10" s="1"/>
  <c r="N30" i="10"/>
  <c r="P30" i="10" s="1"/>
  <c r="N29" i="10"/>
  <c r="P29" i="10" s="1"/>
  <c r="N28" i="10"/>
  <c r="P28" i="10" s="1"/>
  <c r="N27" i="10"/>
  <c r="P27" i="10" s="1"/>
  <c r="N26" i="10"/>
  <c r="P26" i="10" s="1"/>
  <c r="N25" i="10"/>
  <c r="P25" i="10" s="1"/>
  <c r="N24" i="10"/>
  <c r="P24" i="10" s="1"/>
  <c r="N23" i="10"/>
  <c r="P23" i="10" s="1"/>
  <c r="N22" i="10"/>
  <c r="P22" i="10" s="1"/>
  <c r="N21" i="10"/>
  <c r="P21" i="10" s="1"/>
  <c r="N20" i="10"/>
  <c r="P20" i="10" s="1"/>
  <c r="N19" i="10"/>
  <c r="P19" i="10" s="1"/>
  <c r="N18" i="10"/>
  <c r="P18" i="10" s="1"/>
  <c r="N17" i="10"/>
  <c r="P17" i="10" s="1"/>
  <c r="N16" i="10"/>
  <c r="P16" i="10" s="1"/>
  <c r="N15" i="10"/>
  <c r="P15" i="10" s="1"/>
  <c r="N14" i="10"/>
  <c r="P14" i="10" s="1"/>
  <c r="N13" i="10"/>
  <c r="P13" i="10" s="1"/>
  <c r="N12" i="10"/>
  <c r="P12" i="10" s="1"/>
  <c r="N11" i="10"/>
  <c r="P11" i="10" s="1"/>
  <c r="N10" i="10"/>
  <c r="P10" i="10" s="1"/>
  <c r="N9" i="10"/>
  <c r="P9" i="10" s="1"/>
  <c r="N8" i="10"/>
  <c r="P8" i="10" s="1"/>
  <c r="N7" i="10"/>
  <c r="P7" i="10" s="1"/>
  <c r="N6" i="10"/>
  <c r="P6" i="10" s="1"/>
  <c r="N5" i="10"/>
  <c r="P5" i="10" s="1"/>
  <c r="N4" i="10"/>
  <c r="P4" i="10" s="1"/>
  <c r="N3" i="10"/>
  <c r="P3" i="10" s="1"/>
  <c r="N2" i="10"/>
  <c r="P2" i="10" s="1"/>
  <c r="C86" i="5"/>
  <c r="C79" i="5"/>
  <c r="C78" i="5"/>
  <c r="B40" i="3"/>
  <c r="B39" i="3"/>
  <c r="B38" i="3"/>
  <c r="C36" i="3"/>
  <c r="B36" i="3"/>
  <c r="D36" i="3" s="1"/>
  <c r="C35" i="3"/>
  <c r="B35" i="3"/>
  <c r="D35" i="3" s="1"/>
  <c r="C34" i="3"/>
  <c r="B34" i="3"/>
  <c r="D34" i="3" s="1"/>
  <c r="C32" i="3"/>
  <c r="B32" i="3"/>
  <c r="D32" i="3" s="1"/>
  <c r="C31" i="3"/>
  <c r="B31" i="3"/>
  <c r="D31" i="3" s="1"/>
  <c r="C30" i="3"/>
  <c r="B30" i="3"/>
  <c r="D30" i="3" s="1"/>
  <c r="C29" i="3"/>
  <c r="B29" i="3"/>
  <c r="D29" i="3" s="1"/>
  <c r="C28" i="3"/>
  <c r="B28" i="3"/>
  <c r="D28" i="3" s="1"/>
  <c r="C27" i="3"/>
  <c r="B27" i="3"/>
  <c r="D27" i="3" s="1"/>
  <c r="C25" i="3"/>
  <c r="B25" i="3"/>
  <c r="D25" i="3" s="1"/>
  <c r="C24" i="3"/>
  <c r="B24" i="3"/>
  <c r="D24" i="3" s="1"/>
  <c r="F22" i="3"/>
  <c r="E22" i="3"/>
  <c r="C22" i="3"/>
  <c r="B22" i="3"/>
  <c r="D22" i="3" s="1"/>
  <c r="J18" i="3"/>
  <c r="J19" i="3" s="1"/>
  <c r="I18" i="3"/>
  <c r="F18" i="3"/>
  <c r="E18" i="3"/>
  <c r="C18" i="3"/>
  <c r="B18" i="3"/>
  <c r="D18" i="3" s="1"/>
  <c r="J17" i="3"/>
  <c r="I17" i="3"/>
  <c r="K17" i="3" s="1"/>
  <c r="F17" i="3"/>
  <c r="E17" i="3"/>
  <c r="C17" i="3"/>
  <c r="B17" i="3"/>
  <c r="D17" i="3" s="1"/>
  <c r="F16" i="3"/>
  <c r="E16" i="3"/>
  <c r="C16" i="3"/>
  <c r="B16" i="3"/>
  <c r="D16" i="3" s="1"/>
  <c r="J54" i="9"/>
  <c r="I54" i="9"/>
  <c r="K54" i="9" s="1"/>
  <c r="M54" i="9" s="1"/>
  <c r="J33" i="3" s="1"/>
  <c r="J53" i="9"/>
  <c r="I53" i="9"/>
  <c r="K53" i="9" s="1"/>
  <c r="M53" i="9" s="1"/>
  <c r="J32" i="3" s="1"/>
  <c r="J52" i="9"/>
  <c r="I52" i="9"/>
  <c r="K52" i="9" s="1"/>
  <c r="M52" i="9" s="1"/>
  <c r="J31" i="3" s="1"/>
  <c r="J51" i="9"/>
  <c r="I51" i="9"/>
  <c r="K51" i="9" s="1"/>
  <c r="M51" i="9" s="1"/>
  <c r="J30" i="3" s="1"/>
  <c r="I50" i="9"/>
  <c r="K50" i="9" s="1"/>
  <c r="M50" i="9" s="1"/>
  <c r="J29" i="3" s="1"/>
  <c r="I49" i="9"/>
  <c r="K49" i="9" s="1"/>
  <c r="M49" i="9" s="1"/>
  <c r="J28" i="3" s="1"/>
  <c r="I48" i="9"/>
  <c r="K48" i="9" s="1"/>
  <c r="M48" i="9" s="1"/>
  <c r="J27" i="3" s="1"/>
  <c r="I47" i="9"/>
  <c r="K47" i="9" s="1"/>
  <c r="M47" i="9" s="1"/>
  <c r="J26" i="3" s="1"/>
  <c r="I46" i="9"/>
  <c r="K46" i="9" s="1"/>
  <c r="M46" i="9" s="1"/>
  <c r="J25" i="3" s="1"/>
  <c r="J44" i="9"/>
  <c r="I44" i="9"/>
  <c r="K44" i="9" s="1"/>
  <c r="I39" i="9"/>
  <c r="K39" i="9" s="1"/>
  <c r="M39" i="9" s="1"/>
  <c r="I38" i="9"/>
  <c r="K38" i="9" s="1"/>
  <c r="M38" i="9" s="1"/>
  <c r="I27" i="9"/>
  <c r="K27" i="9" s="1"/>
  <c r="M27" i="9" s="1"/>
  <c r="C26" i="3" s="1"/>
  <c r="I26" i="9"/>
  <c r="K26" i="9" s="1"/>
  <c r="J54" i="8"/>
  <c r="I54" i="8"/>
  <c r="K54" i="8" s="1"/>
  <c r="M54" i="8" s="1"/>
  <c r="I34" i="3" s="1"/>
  <c r="J53" i="8"/>
  <c r="I53" i="8"/>
  <c r="K53" i="8" s="1"/>
  <c r="M53" i="8" s="1"/>
  <c r="I33" i="3" s="1"/>
  <c r="K33" i="3" s="1"/>
  <c r="J52" i="8"/>
  <c r="I52" i="8"/>
  <c r="K52" i="8" s="1"/>
  <c r="M52" i="8" s="1"/>
  <c r="I32" i="3" s="1"/>
  <c r="K32" i="3" s="1"/>
  <c r="J51" i="8"/>
  <c r="I51" i="8"/>
  <c r="K51" i="8" s="1"/>
  <c r="M51" i="8" s="1"/>
  <c r="I31" i="3" s="1"/>
  <c r="K31" i="3" s="1"/>
  <c r="J50" i="8"/>
  <c r="I50" i="8"/>
  <c r="K50" i="8" s="1"/>
  <c r="I49" i="8"/>
  <c r="K49" i="8" s="1"/>
  <c r="M49" i="8" s="1"/>
  <c r="I29" i="3" s="1"/>
  <c r="K29" i="3" s="1"/>
  <c r="I48" i="8"/>
  <c r="K48" i="8" s="1"/>
  <c r="M48" i="8" s="1"/>
  <c r="I28" i="3" s="1"/>
  <c r="K28" i="3" s="1"/>
  <c r="I47" i="8"/>
  <c r="K47" i="8" s="1"/>
  <c r="M47" i="8" s="1"/>
  <c r="I27" i="3" s="1"/>
  <c r="K27" i="3" s="1"/>
  <c r="I46" i="8"/>
  <c r="K46" i="8" s="1"/>
  <c r="M46" i="8" s="1"/>
  <c r="I26" i="3" s="1"/>
  <c r="K26" i="3" s="1"/>
  <c r="I45" i="8"/>
  <c r="K45" i="8" s="1"/>
  <c r="M45" i="8" s="1"/>
  <c r="I25" i="3" s="1"/>
  <c r="I42" i="8"/>
  <c r="K42" i="8" s="1"/>
  <c r="M42" i="8" s="1"/>
  <c r="I41" i="8"/>
  <c r="K41" i="8" s="1"/>
  <c r="M41" i="8" s="1"/>
  <c r="I28" i="8"/>
  <c r="K28" i="8" s="1"/>
  <c r="M28" i="8" s="1"/>
  <c r="B26" i="3" s="1"/>
  <c r="D26" i="3" s="1"/>
  <c r="I27" i="8"/>
  <c r="K27" i="8" s="1"/>
  <c r="D40" i="3" l="1"/>
  <c r="C40" i="3"/>
  <c r="D39" i="3"/>
  <c r="C39" i="3"/>
  <c r="D38" i="3"/>
  <c r="C38" i="3"/>
  <c r="K18" i="3"/>
  <c r="I19" i="3"/>
  <c r="K19" i="3" s="1"/>
  <c r="M44" i="9"/>
  <c r="F21" i="3"/>
  <c r="F20" i="3"/>
  <c r="M26" i="9"/>
  <c r="C6" i="3"/>
  <c r="F19" i="3"/>
  <c r="E20" i="3"/>
  <c r="M50" i="8"/>
  <c r="E21" i="3"/>
  <c r="K25" i="3"/>
  <c r="M27" i="8"/>
  <c r="E19" i="3"/>
  <c r="B6" i="3"/>
  <c r="D6" i="3" s="1"/>
  <c r="C20" i="3" l="1"/>
  <c r="C21" i="3"/>
  <c r="J34" i="3"/>
  <c r="C5" i="3"/>
  <c r="B11" i="3" s="1"/>
  <c r="D11" i="3" s="1"/>
  <c r="C19" i="3"/>
  <c r="C33" i="3"/>
  <c r="C7" i="3"/>
  <c r="B20" i="3"/>
  <c r="D20" i="3" s="1"/>
  <c r="I30" i="3"/>
  <c r="B21" i="3"/>
  <c r="B7" i="3"/>
  <c r="B5" i="3"/>
  <c r="B19" i="3"/>
  <c r="B33" i="3"/>
  <c r="J35" i="3" l="1"/>
  <c r="J36" i="3" s="1"/>
  <c r="K34" i="3"/>
  <c r="I35" i="3"/>
  <c r="K30" i="3"/>
  <c r="D5" i="3"/>
  <c r="B10" i="3"/>
  <c r="D21" i="3"/>
  <c r="D7" i="3"/>
  <c r="D19" i="3"/>
  <c r="D33" i="3"/>
  <c r="I36" i="3" l="1"/>
  <c r="K36" i="3" s="1"/>
  <c r="K35" i="3"/>
  <c r="D10" i="3"/>
  <c r="B12" i="3"/>
  <c r="D12" i="3" s="1"/>
</calcChain>
</file>

<file path=xl/sharedStrings.xml><?xml version="1.0" encoding="utf-8"?>
<sst xmlns="http://schemas.openxmlformats.org/spreadsheetml/2006/main" count="5820" uniqueCount="2039">
  <si>
    <t>ID</t>
  </si>
  <si>
    <t>Programm</t>
  </si>
  <si>
    <t>Akteur</t>
  </si>
  <si>
    <t>Rolle</t>
  </si>
  <si>
    <t>Prozesskategorie</t>
  </si>
  <si>
    <t>Administrative Tätigkeit (Objekt + Verb)</t>
  </si>
  <si>
    <t>Fachliche Anforderung / erforderlicher Nachweis</t>
  </si>
  <si>
    <t>Häufigkeit</t>
  </si>
  <si>
    <t>Fallzahl / Bezugsgröße</t>
  </si>
  <si>
    <t>Zeitaufwand je Vorgang (Min.)</t>
  </si>
  <si>
    <t>Gesamter Zeitaufwand (Std.)</t>
  </si>
  <si>
    <t>Stundensatz (EUR/Std.)</t>
  </si>
  <si>
    <t>Arbeitszeitkosten (EUR)</t>
  </si>
  <si>
    <t>Quelldokument</t>
  </si>
  <si>
    <t>Genaue Fundstelle</t>
  </si>
  <si>
    <t>Wörtliches Zitat</t>
  </si>
  <si>
    <t>QZ-0001</t>
  </si>
  <si>
    <t>QZBW</t>
  </si>
  <si>
    <t>Traubenerzeuger / landwirtschaftlicher Betrieb</t>
  </si>
  <si>
    <t>Traubenerzeuger; Bezugsform: Gruppe</t>
  </si>
  <si>
    <t>Verträge</t>
  </si>
  <si>
    <t>Teilnahmevereinbarung mit der Erzeugergruppe prüfen, unterzeichnen und übermitteln</t>
  </si>
  <si>
    <t>Unterzeichnete Teilnahmevereinbarung zwischen Traubenerzeuger und Erzeugergruppe</t>
  </si>
  <si>
    <t>einmalig</t>
  </si>
  <si>
    <t>QZBW – Teilnahmevereinbarung Gruppenzertifizierung (pflanzliche Bereiche), Stand 2023</t>
  </si>
  <si>
    <t>S. 1, Ziff. I.1; S. 2, Ziff. I.11</t>
  </si>
  <si>
    <t>Der Erzeugerbetrieb erklärt seine Teilnahme am Gruppenzertifizierungssystem des oben genannten gruppenführenden Unternehmens. […] Mit dieser Erklärung treten alle früheren einzelbetrieblichen Teilnahmevereinbarungen des Erzeugers gegenüber einem Lizenznehmer […] außer Kraft.</t>
  </si>
  <si>
    <t>QZ-0002</t>
  </si>
  <si>
    <t>Ausfüllen von Checklisten und Formulare</t>
  </si>
  <si>
    <t>Eigenkontroll-Checkliste des landwirtschaftlichen Betriebs ausfüllen und ablegen</t>
  </si>
  <si>
    <t>Vollständig bearbeitete Eigenkontroll-Checkliste des landwirtschaftlichen Betriebs</t>
  </si>
  <si>
    <t>QZBW – Programmbestimmungen, Stand 01.01.2025</t>
  </si>
  <si>
    <t>Programmbestimmungen QZBW 2025, S. 14, Abschnitt 5.5</t>
  </si>
  <si>
    <t>Die Eigenkontrolle ist obligatorischer Bestandteil des Qualitätssicherungskonzeptes im „System Qualitätszeichen Baden-Württemberg“. Alle Teilnehmer müssen die Durchführung der Eigenkontrolle dokumentieren und nachweisen.</t>
  </si>
  <si>
    <t>QZ-0003</t>
  </si>
  <si>
    <t>GVO-Freiheitsbescheinigung ausfüllen beziehungsweise einholen und zusammen mit den zugehörigen Nachweisen ablegen</t>
  </si>
  <si>
    <t>Vollständiger Nachweis der GVO-Freiheit einschließlich Bescheinigung und zugehöriger Unterlagen</t>
  </si>
  <si>
    <t>QZBW – Zusatzanforderungen Wein 2025; Bescheinigung über GVO-Freiheit</t>
  </si>
  <si>
    <t>QZBW ZA Wein 2025, S. 3, Abschnitt Gentechnik</t>
  </si>
  <si>
    <t>Produkte mit dem Qualitätszeichen müssen die Anforderungen für die Kennzeichnung „Ohne Gentechnik“ erfüllen.</t>
  </si>
  <si>
    <t>QZ-0004</t>
  </si>
  <si>
    <t>Datenschutzhinweise zur Teilnahmevereinbarung lesen und unterzeichnen</t>
  </si>
  <si>
    <t>Dokumentierte Kenntnisnahme der Datenschutzhinweise zur Teilnahmevereinbarung</t>
  </si>
  <si>
    <t>QZBW – Datenschutzhinweise zur Teilnahmevereinbarung, Stand 02.07.2021</t>
  </si>
  <si>
    <t>Datenschutzhinweise Teilnahmevereinbarung QZBW, S. 1, Abschnitt 4</t>
  </si>
  <si>
    <t>Ihre personenbezogenen Daten werden erhoben, um die Teilnahmevereinbarung abschließen und erfüllen zu können.</t>
  </si>
  <si>
    <t>QZ-0016</t>
  </si>
  <si>
    <t>Genossenschaft / zentrale Einrichtung / Zeichennutzer</t>
  </si>
  <si>
    <t>Administrative Tätigkeiten im QMS der Erzeugergruppe</t>
  </si>
  <si>
    <t>Teilnahmevereinbarung mit dem Gruppenmitglied ausfüllen, unterzeichnen und ablegen</t>
  </si>
  <si>
    <t>Unterzeichnete Teilnahmevereinbarung mit dem Gruppenmitglied</t>
  </si>
  <si>
    <t>QZBW – Anforderungen an Erzeugergruppen, Stand 01.01.2023</t>
  </si>
  <si>
    <t>Anforderungen an Erzeugergruppen 2023, S. 5, Abschnitt 3.2.1</t>
  </si>
  <si>
    <t>Die Erzeugergruppe hat mit jedem Mitglied eine gültige Teilnahmevereinbarung QZBW abgeschlossen.</t>
  </si>
  <si>
    <t>QZ-0017</t>
  </si>
  <si>
    <t>Administrative Tätigkeiten als Zeichennutzer</t>
  </si>
  <si>
    <t>Zeichennutzungsvertrag lesen, unterzeichnen und ablegen</t>
  </si>
  <si>
    <t>Unterzeichneter Zeichennutzungsvertrag</t>
  </si>
  <si>
    <t>Programmbestimmungen QZBW 2025, S. 34, Abschnitt 10.2</t>
  </si>
  <si>
    <t>Die Teilnahme als Zeichennutzer ist nur auf der Grundlage eines Zeichennutzungsvertrages mit einem Lizenznehmer möglich.</t>
  </si>
  <si>
    <t>QZ-0018</t>
  </si>
  <si>
    <t>Datenschutzhinweise zum Zeichennutzungsvertrag lesen und unterzeichnen</t>
  </si>
  <si>
    <t>Dokumentierte Kenntnisnahme der Datenschutzhinweise zum Zeichennutzungsvertrag</t>
  </si>
  <si>
    <t>QZBW – Datenschutzhinweise zum Zeichennutzungsvertrag, Stand 02.07.2021</t>
  </si>
  <si>
    <t>Datenschutzhinweise Zeichennutzungsvertrag QZBW, S. 1, Abschnitt 4</t>
  </si>
  <si>
    <t>Ihre personenbezogenen Daten werden verarbeitet, um den Zeichennutzungsvertrag abschließen und erfüllen zu können.</t>
  </si>
  <si>
    <t>QZ-0019</t>
  </si>
  <si>
    <t>Excel-Meldedatei für jedes Gruppenmitglied ausfüllen und übermitteln</t>
  </si>
  <si>
    <t>Vollständige Excel-Meldedatei für jedes Gruppenmitglied</t>
  </si>
  <si>
    <t>Anforderungen an Erzeugergruppen 2023, S. 6, Abschnitt 3.2.3. Die Richtlinie verlangt das aktuelle Mitgliederverzeichnis, jedoch nicht wörtlich das Dateiformat Excel.</t>
  </si>
  <si>
    <t>Die Erzeugergruppe hat ein Mitgleiderverzeichnis mit folgenden Stammdaten zu führen: […]</t>
  </si>
  <si>
    <t>QZ-0020</t>
  </si>
  <si>
    <t>Eigenkontrolle als Zeichennutzer</t>
  </si>
  <si>
    <t>Eigenkontrollcheckliste des Zeichennutzers ausfüllen und ablegen</t>
  </si>
  <si>
    <t>Vollständig bearbeitete Eigenkontrollcheckliste des Zeichennutzers</t>
  </si>
  <si>
    <t>QZBW – Eigenkontrolle Zeichennutzer: Wein, Sekt und Perlwein, Version 2024</t>
  </si>
  <si>
    <t>Eigenkontrolle Zeichennutzer – Wein 2024, S. 1, Abschnitt 1.2</t>
  </si>
  <si>
    <t>Zur Einhaltung der QZBW-Bestimmungen regelmäßig (mind. jährlich) durchgeführt und dokumentiert (Eigenkontrollchecklisten aufbewahrt).</t>
  </si>
  <si>
    <t>QZ-0021</t>
  </si>
  <si>
    <t>Interne Prüfungen innerhalb der Gruppe</t>
  </si>
  <si>
    <t>Eigenkontrollcheckliste des Traubenerzeugers prüfen und Prüfergebnis dokumentieren</t>
  </si>
  <si>
    <t>Geprüfte Eigenkontrollcheckliste des Traubenerzeugers</t>
  </si>
  <si>
    <t>Anforderungen an Erzeugergruppen 2023, S. 8, Abschnitt 4.1.1</t>
  </si>
  <si>
    <t>Die Einhaltung der Anforderungen muss über ein qualifiziertes internes Audit bzw. Kontrolle mindestens einmal je Kalenderjahr überprüft und anhand einer Checkliste dokumentiert werden.</t>
  </si>
  <si>
    <t>QZ-0022</t>
  </si>
  <si>
    <t>Maßnahmenpläne prüfen und Prüfergebnis dokumentieren</t>
  </si>
  <si>
    <t>Geprüfte Maßnahmenpläne</t>
  </si>
  <si>
    <t>Anforderungen an Erzeugergruppen 2023, S. 9, Abschnitt 4.2.1; Schreibweise „inklusiv“ entspricht dem Original</t>
  </si>
  <si>
    <t>Für alle in internen Audits/Kontrollen festgestellten C- und D-Bewertungen sind Korrekturmaßnahmen inklusiv angemessener Fristen eingetragen.</t>
  </si>
  <si>
    <t>QZ-0023</t>
  </si>
  <si>
    <t>Pflanzenschutzaufzeichnungen prüfen und Prüfergebnis dokumentieren</t>
  </si>
  <si>
    <t>Geprüfte Pflanzenschutzaufzeichnungen</t>
  </si>
  <si>
    <t>Anforderungen an Erzeugergruppen 2023, S. 8, Abschnitt 4.1.2; umfasst die anwendbaren Pflanzenschutzanforderungen</t>
  </si>
  <si>
    <t>Interne Checklisten müssen alle anwendbaren Standardanforderungen enthalten.</t>
  </si>
  <si>
    <t>QZ-0024</t>
  </si>
  <si>
    <t>Düngemittelaufzeichnungen prüfen und Prüfergebnis dokumentieren</t>
  </si>
  <si>
    <t>Geprüfte Düngemittelaufzeichnungen</t>
  </si>
  <si>
    <t>Anforderungen an Erzeugergruppen 2023, S. 8, Abschnitt 4.1.2; umfasst die anwendbaren Düngemittelanforderungen</t>
  </si>
  <si>
    <t>QZ-0025</t>
  </si>
  <si>
    <t>Rückverfolgbarkeits- und Plausibilitätsprüfung</t>
  </si>
  <si>
    <t>Ernteaufzeichnungen prüfen und Prüfergebnis dokumentieren</t>
  </si>
  <si>
    <t>Geprüfte Ernteaufzeichnungen</t>
  </si>
  <si>
    <t>Anforderungen an Erzeugergruppen 2023, S. 10, Abschnitt 6.1.4</t>
  </si>
  <si>
    <t>Es muss von der Erzeugergruppe überprüft und dokumentiert werden, dass die Zukaufsmengen mit den Erntemengen der angegebenen Flächen der Mitglieder korrespondieren.</t>
  </si>
  <si>
    <t>QZ-0026</t>
  </si>
  <si>
    <t>Verkaufszahlen prüfen und Prüfergebnis dokumentieren</t>
  </si>
  <si>
    <t>Geprüfte Verkaufszahlen</t>
  </si>
  <si>
    <t>Anforderungen an Erzeugergruppen 2023, S. 10, Abschnitt 6.1.2; belegt die Warenausgangs-/Mengenprüfung, nicht wörtlich eine eigenständige Verkaufszahlenliste</t>
  </si>
  <si>
    <t>Die Prüfung der Rückverfolgbarkeit aller Waren ist an einem Beispiel aus der Produktion oder dem Warenausgang […] durchzuführen. Das System muss mindestens jährlich getestet werden. Der Test ist zu dokumentieren.</t>
  </si>
  <si>
    <t>QZ-0027</t>
  </si>
  <si>
    <t>Flächenangaben prüfen und Prüfergebnis dokumentieren</t>
  </si>
  <si>
    <t>Geprüfte Flächenangaben</t>
  </si>
  <si>
    <t>Anforderungen an Erzeugergruppen 2023, S. 6, Abschnitt 3.2.3; die vorherige Aufzählung nennt aktuelle Anbauflächen und Hektarwerte</t>
  </si>
  <si>
    <t>Änderungen der oben genannten Daten sind der Erzeugergruppe durch das Mitglied unverzüglich mitzuteilen. Das Verzeichnis ist aktuell zu halten.</t>
  </si>
  <si>
    <t>QZ-0028</t>
  </si>
  <si>
    <t>Lieferscheine prüfen und Prüfergebnis dokumentieren</t>
  </si>
  <si>
    <t>Geprüfte Lieferscheine</t>
  </si>
  <si>
    <t>Anforderungen an Erzeugergruppen 2023, S. 10, Abschnitt 6.1.1; Lieferscheine sind ein betrieblicher Nachweis, werden hier aber nicht ausdrücklich genannt</t>
  </si>
  <si>
    <t>Die Erzeugergruppe verfügt über ein dokumentiertes Verfahren, das sicherstellt, dass Produkte bis zum Erzeuger rückverfolgbar sind. Die Transparenz des Warenflusses ist nachzuweisen.</t>
  </si>
  <si>
    <t>QZ-0029</t>
  </si>
  <si>
    <t>Wareneingangsdokumente prüfen und Prüfergebnis dokumentieren</t>
  </si>
  <si>
    <t>Geprüfte Wareneingangsdokumente</t>
  </si>
  <si>
    <t>Anforderungen an Erzeugergruppen 2023, S. 10, Abschnitt 6.1.5</t>
  </si>
  <si>
    <t>Die Wareneingangskontrollen sind anhand interner Vorgaben durchzuführen und zu dokumentieren.</t>
  </si>
  <si>
    <t>QZ-0030</t>
  </si>
  <si>
    <t>Rechnungsunterlagen prüfen und Prüfergebnis dokumentieren</t>
  </si>
  <si>
    <t>Geprüfte Rechnungsunterlagen</t>
  </si>
  <si>
    <t>Programmbestimmungen QZBW 2025, S. 34, Abschnitt 10.1; die Richtlinie nennt Rechnungen als Programmnachweis, nicht eine gesonderte interne Rechnungsprüfung</t>
  </si>
  <si>
    <t>Der Erzeuger darf seine selbst erzeugten Agrarerzeugnisse nur im direkten Handelsverkehr mit Wiederverkäufern (Zeichennutzern) als Programmware bezeichnen, z. B. auf Rechnungen und Lieferscheinen.</t>
  </si>
  <si>
    <t>QZ-0031</t>
  </si>
  <si>
    <t>Festlegung und Nachverfolgung von Korrekturmaßnahmen</t>
  </si>
  <si>
    <t>Korrekturmaßnahmen definieren und Umsetzungsfristen dokumentieren</t>
  </si>
  <si>
    <t>Dokumentierte Korrekturmaßnahmen und Umsetzungsfristen</t>
  </si>
  <si>
    <t>bei Bedarf</t>
  </si>
  <si>
    <t>Anforderungen an Erzeugergruppen 2023, S. 9, Abschnitt 4.2.1</t>
  </si>
  <si>
    <t>QZ-0032</t>
  </si>
  <si>
    <t>Nachkontrolle durchführen und Ergebnis dokumentieren</t>
  </si>
  <si>
    <t>Dokumentiertes Ergebnis der Nachkontrolle</t>
  </si>
  <si>
    <t>Anforderungen an Erzeugergruppen 2023, S. 9, Abschnitt 4.2.2</t>
  </si>
  <si>
    <t>Die Umsetzung der Korrekturmaßnahmen muss dokumentiert werden.</t>
  </si>
  <si>
    <t>QZ-0042</t>
  </si>
  <si>
    <t>Kontroll-, Abweichungs- und Beschwerdedokumentation</t>
  </si>
  <si>
    <t>Beschwerden erfassen, untersuchen, klären und dokumentieren</t>
  </si>
  <si>
    <t>Vollständig bearbeitete und dokumentierte Beschwerden</t>
  </si>
  <si>
    <t>Anforderungen an Erzeugergruppen 2023, S. 9, Abschnitt 5.1.1</t>
  </si>
  <si>
    <t>Die Erzeugergruppe verfügt über ein dokumentiertes Beschwerdemanagement. Beschwerden/Reklamationen, die von der Zertifizierung abgedeckte Produkte oder Prozesse betreffen werden aufgezeichnet, untersucht und aufgeklärt.</t>
  </si>
  <si>
    <t>QZ-0043</t>
  </si>
  <si>
    <t>Kontroll- und Abweichungsprotokolle führen</t>
  </si>
  <si>
    <t>Vollständige Kontroll- und Abweichungsprotokolle</t>
  </si>
  <si>
    <t>Anforderungen an Erzeugergruppen 2023, S. 8, Abschnitt 4.1.3</t>
  </si>
  <si>
    <t>Die Berichte (ausgefüllte Checklisten) interner Audits/Kontrollen sind vollständig und aussagekräftig.</t>
  </si>
  <si>
    <t>QZ-0044</t>
  </si>
  <si>
    <t>Abweichungen kategorisieren und dokumentieren</t>
  </si>
  <si>
    <t>Einheitlich kategorisierte und dokumentierte Abweichungen</t>
  </si>
  <si>
    <t>Anforderungen an Erzeugergruppen 2023, S. 9, Abschnitt 4.2.1; belegt die Verwendung der Bewertungskategorien C und D</t>
  </si>
  <si>
    <t>QZ-0045</t>
  </si>
  <si>
    <t>QMS-Dokumentation und -lenkung</t>
  </si>
  <si>
    <t>QMS-Verfahren, Arbeitsanweisungen, Formulare und Aufzeichnungen ablegen, auf Aktualität prüfen und pflegen</t>
  </si>
  <si>
    <t>Aktuelle, versionierte und vollständig abgelegte QMS-Unterlagen der Erzeugergruppe</t>
  </si>
  <si>
    <t>fortlaufend</t>
  </si>
  <si>
    <t>S. 10-11, Abschnitte 7.1.1 und 7.1.2</t>
  </si>
  <si>
    <t>Das QMS muss durch Verfahren, Arbeitsanweisungen, Formulare und ggf. weitere Aufzeichnungen entsprechend seiner Größe angemessen dokumentiert sein. Die Dokumente werden regelmäßig auf Aktualität überprüft.</t>
  </si>
  <si>
    <t>QZ-0046</t>
  </si>
  <si>
    <t>Kontroll-/Zertifizierungsstelle</t>
  </si>
  <si>
    <t>Externe Kontrolle; Bezugsform: Gruppe</t>
  </si>
  <si>
    <t>Stichprobenkontrollen</t>
  </si>
  <si>
    <t>QMS einschließlich interner Kontrollen anhand der Unterlagen verifizieren und Ergebnis dokumentieren</t>
  </si>
  <si>
    <t>Verifiziertes QMS einschließlich interner Kontrollen</t>
  </si>
  <si>
    <t>Anforderungen an Erzeugergruppen 2023, S. 5, Abschnitt 3.1.4</t>
  </si>
  <si>
    <t>Das interne Kontrollsystem ist wirksam. Es stellt sicher, dass alle Standorte und alle Mitglieder die Standardanforderungen erfüllen.</t>
  </si>
  <si>
    <t>QZ-0047</t>
  </si>
  <si>
    <t>QZ-0052</t>
  </si>
  <si>
    <t>Archivierung von Nachweisen</t>
  </si>
  <si>
    <t>QZBW-Qualitätsnachweis beschaffen und für die Eigen- beziehungsweise Zertifizierungskontrolle bereithalten</t>
  </si>
  <si>
    <t>QZBW-Qualitätsnachweis für Wein, Sekt und Perlwein durch Gütezeichen beziehungsweise Qualitätsprüfung gemäß den Zusatzanforderungen Wein</t>
  </si>
  <si>
    <t>jährlich</t>
  </si>
  <si>
    <t>QZBW – Zusatzanforderungen Wein 2025</t>
  </si>
  <si>
    <t>S. 7, Abschnitt Qualitätsprüfungen</t>
  </si>
  <si>
    <t>„Der Qualitätsnachweis … erfolgt regelmäßig durch ein Gütezeichen bzw. durch die Qualitätsprüfung.“</t>
  </si>
  <si>
    <t>QZ-0053</t>
  </si>
  <si>
    <t>Mitglieder- und Zulassungsmanagement</t>
  </si>
  <si>
    <t>Verfahren zur Aufnahme neuer Mitglieder pflegen und Neuaufnahme dokumentieren</t>
  </si>
  <si>
    <t>Dokumentiertes Verfahren und vollständiger Nachweis der Aufnahme neuer Mitgliedsbetriebe</t>
  </si>
  <si>
    <t>bei Aufnahme</t>
  </si>
  <si>
    <t>QZBW - Anforderungen an Erzeugergruppen, Stand 01.01.2023</t>
  </si>
  <si>
    <t>S. 6, Abschnitt 3.2.4</t>
  </si>
  <si>
    <t>Es muss ein dokumentiertes Verfahren über die Aufnahme neuer Mitgliedsbetriebe geben.</t>
  </si>
  <si>
    <t>QZ-0054</t>
  </si>
  <si>
    <t>Qualifikation und Schulung</t>
  </si>
  <si>
    <t>Qualifikations-, Zulassungs- und Begleitnachweise interner Auditoren und Kontrolleure pflegen</t>
  </si>
  <si>
    <t>Aktuelle Qualifikations-, Zulassungs- und Begleitnachweise der internen Auditoren und Kontrolleure</t>
  </si>
  <si>
    <t>bei Benennung und Änderung</t>
  </si>
  <si>
    <t>S. 6-7, Abschnitte 3.3.1 und 3.3.2</t>
  </si>
  <si>
    <t>Bevor interne Audits/Kontrollen selbstständig durchgeführt werden, muss der interne Auditor/Kontrolleur mindestens ein/e Audit/Kontrolle als Beobachter begleitet haben.</t>
  </si>
  <si>
    <t>QZ-0055</t>
  </si>
  <si>
    <t>Schulungen planen sowie Inhalte und Teilnehmende dokumentieren</t>
  </si>
  <si>
    <t>Regelmäßige und vollständig dokumentierte Schulungen für Personal und Mitglieder</t>
  </si>
  <si>
    <t>S. 7, Abschnitt 3.3.3</t>
  </si>
  <si>
    <t>Die Mitarbeiter/das Personal und die Mitglieder der Erzeugergruppe werden regelmäßig geschult. Die Durchführung der Schulungen ist dokumentiert.</t>
  </si>
  <si>
    <t>QZ-0056</t>
  </si>
  <si>
    <t>Interne Audits terminieren und Auditzeitplan pflegen</t>
  </si>
  <si>
    <t>Fristgerechter und dokumentierter Zeitplan der internen Audits und Kontrollen</t>
  </si>
  <si>
    <t>S. 8, Abschnitte 4.1.5 bis 4.1.7</t>
  </si>
  <si>
    <t>Interne Audits/Kontrollen können in Teilaudits erfolgen. In diesem Fall muss ein Zeitplan vorliegen.</t>
  </si>
  <si>
    <t>QZ-0057</t>
  </si>
  <si>
    <t>Mitgliedsfreigabe im Vier-Augen-Prinzip prüfen und dokumentieren</t>
  </si>
  <si>
    <t>Dokumentierte Freigabe jedes Mitglieds im Vier-Augen-Prinzip</t>
  </si>
  <si>
    <t>jährlich je Mitglied</t>
  </si>
  <si>
    <t>S. 8, Abschnitt 4.1.8</t>
  </si>
  <si>
    <t>Diese Freigabe ist dokumentiert.</t>
  </si>
  <si>
    <t>QZ-0058</t>
  </si>
  <si>
    <t>Rückverfolgbarkeitssystem anhand eines Warenbeispiels testen und Ergebnis dokumentieren</t>
  </si>
  <si>
    <t>Mindestens jährlich getestetes und dokumentiertes Rückverfolgbarkeitssystem</t>
  </si>
  <si>
    <t>S. 10, Abschnitt 6.1.2</t>
  </si>
  <si>
    <t>Das System muss mindestens jährlich getestet werden. Der Test ist zu dokumentieren.</t>
  </si>
  <si>
    <t>QZ-0059</t>
  </si>
  <si>
    <t>Datenaufzeichnung und -pflege</t>
  </si>
  <si>
    <t>Warenflüsse zwischen QZBW- und Nicht-QZBW-Ware trennen und nachvollziehbar dokumentieren</t>
  </si>
  <si>
    <t>Nachvollziehbare Trennung der Warenflüsse zwischen QZBW- und Nicht-QZBW-Ware in der Weinbereitung</t>
  </si>
  <si>
    <t>jährlich (Modellannahme für fortlaufende Pflicht)</t>
  </si>
  <si>
    <t>QZBW – Zusatzanforderungen Wein, Stand 2025</t>
  </si>
  <si>
    <t>S. 7, Abschnitt III.6</t>
  </si>
  <si>
    <t>Wein, Sekt und Perlwein für die Vermarktung unter dem Qualitätszeichen ist eindeutig und nachvollziehbar zu kennzeichnen. Ware, die nicht unter dem Qualitätszeichen Baden-Württemberg vermarktet wird, ist im gesamten Betriebsablauf von der Programmware nachvollziehbar getrennt zu führen.</t>
  </si>
  <si>
    <t>QZ-0060</t>
  </si>
  <si>
    <t>Vorhandene Betriebsnachweise für das QMS zusammenstellen und der Erzeugergruppe übermitteln</t>
  </si>
  <si>
    <t>Vollständig zusammengestelltes und an die Erzeugergruppe übermitteltes QMS-Nachweispaket</t>
  </si>
  <si>
    <t>QZBW – Zusatzanforderungen Wein, Stand 2025; Teilnahmevereinbarung Gruppenzertifizierung, Stand 2023</t>
  </si>
  <si>
    <t>ZA Wein 2025, S. 6, Abschnitt Dokumentation; Teilnahmevereinbarung GZ 2023, S. 1, Ziff. I.4</t>
  </si>
  <si>
    <t>Vor Anlieferung der Ernte […] muss die Dokumentation (Betriebsheft) bei der jeweiligen genossenschaftlichen oder privaten Kellerei […] zur Prüfung vorgelegt werden.</t>
  </si>
  <si>
    <t>QZ-0061</t>
  </si>
  <si>
    <t>Umsetzung von Korrekturmaßnahmen dokumentieren und der Erzeugergruppe melden</t>
  </si>
  <si>
    <t>Dokumentierter Umsetzungsnachweis zu festgelegten Korrekturmaßnahmen und Mitteilung an die Erzeugergruppe</t>
  </si>
  <si>
    <t>S. 2, Ziff. I.4–5</t>
  </si>
  <si>
    <t>Bei […] im Rahmen der internen Kontrolle festgestellten Mängeln, geeignete Abhilfe- und Korrekturmaßnahmen einzuleiten und diese zu dokumentieren.</t>
  </si>
  <si>
    <t>QZ-0062</t>
  </si>
  <si>
    <t>Kontrollvertrag beziehungsweise Kontrollauftrag prüfen, unterzeichnen und ablegen</t>
  </si>
  <si>
    <t>Dokumentierte Beauftragung einer zugelassenen Zertifizierungsstelle für die externe Gruppenkontrolle</t>
  </si>
  <si>
    <t>S. 1, Ziff. I.4</t>
  </si>
  <si>
    <t>Die regelmäßige Inspektion, die Überwachung und ggf. die Zertifizierung erfolgen durch eine […] zugelassene Zertifizierungsstelle im Auftrag des gruppenführenden Unternehmens.</t>
  </si>
  <si>
    <t>QZ-0063</t>
  </si>
  <si>
    <t>QMS-Kontrollunterlagen zusammenstellen und der Zertifizierungsstelle bereitstellen</t>
  </si>
  <si>
    <t>Vollständiges, prüffähiges QMS-Kontrollpaket für die externe Zertifizierungsstelle</t>
  </si>
  <si>
    <t>S. 8, Abschnitt 4.1.3; S. 10–11, Abschnitte 7.1.1–7.1.2</t>
  </si>
  <si>
    <t>Die Berichte (ausgefüllte Checklisten) interner Audits/Kontrollen sind vollständig und aussagekräftig. Aufzeichnungen der Nachverfolgung von Korrekturmaßnahmen müssen vorliegen.</t>
  </si>
  <si>
    <t>QZ-0064</t>
  </si>
  <si>
    <t>Externen QMS-Kontrolltermin abstimmen und erforderliche Kontrollunterlagen anfordern</t>
  </si>
  <si>
    <t>Abgestimmter Termin und angefordertes Kontrollpaket für die externe QMS-Prüfung</t>
  </si>
  <si>
    <t>S. 8, Abschnitt 4.1.5</t>
  </si>
  <si>
    <t>Die internen Audits/Kontrollen müssen vor der externen (neutralen) Kontrolle durch die Zertifizierungsstelle abgeschlossen sein.</t>
  </si>
  <si>
    <t>QZ-0065</t>
  </si>
  <si>
    <t>Zertifizierungsentscheidung dokumentieren und Gruppenzertifikat beziehungsweise Zertifikatsdaten übermitteln</t>
  </si>
  <si>
    <t>Dokumentierte Zertifizierungsentscheidung und übermitteltes Gruppenzertifikat beziehungsweise Zertifikatsdaten</t>
  </si>
  <si>
    <t>QZBW – Programmbestimmungen, Stand 01.01.2025; Teilnahmevereinbarung Gruppenzertifizierung, Stand 2023</t>
  </si>
  <si>
    <t>Programmbestimmungen QZBW 2025, S. 9, Abschnitt 3.4</t>
  </si>
  <si>
    <t>Die Erzeugergruppe ist als juristische Einheit der Zertifikatinhaber und fungiert als Zeichennutzer.</t>
  </si>
  <si>
    <t>QZ-0066</t>
  </si>
  <si>
    <t>Gruppenzertifikat prüfen, intern zuordnen und im QMS ablegen</t>
  </si>
  <si>
    <t>Geprüftes und im QMS abgelegtes Gruppenzertifikat</t>
  </si>
  <si>
    <t>S. 9, Abschnitt 3.4</t>
  </si>
  <si>
    <t>QZ-0067</t>
  </si>
  <si>
    <t>Externer Lizenznehmer</t>
  </si>
  <si>
    <t>Lizenznahme der Erzeugergruppe / Zeichennutzerin</t>
  </si>
  <si>
    <t>Zeichennutzungsvertrag der Erzeugergruppe prüfen und gegenzeichnen sowie Programmanmeldung weiterleiten</t>
  </si>
  <si>
    <t>Gegengezeichneter Zeichennutzungsvertrag und programmgemäß registrierte Erzeugergruppe</t>
  </si>
  <si>
    <t>QZBW – Teilnahmevereinbarung Gruppenzertifizierung (pflanzliche Bereiche), Stand 2023; Programmbestimmungen QZBW 2025</t>
  </si>
  <si>
    <t>Teilnahmevereinbarung GZ 2023, S. 2, Ziff. II.2; Programmbestimmungen 2025, Abschnitt 3.4</t>
  </si>
  <si>
    <t>Es stellt seinerseits die ordentliche Teilnahme am Qualitätszeichen Baden-Württemberg durch den Abschluss eines Zeichennutzungsvertrages mit einem Lizenznehmer sicher.</t>
  </si>
  <si>
    <t>BIO-0001</t>
  </si>
  <si>
    <t>BioZBW</t>
  </si>
  <si>
    <t>Teilnahmeerklärung gegenüber der Genossenschaft als Zeichennutzerin und Unternehmergruppe prüfen, unterzeichnen und übermitteln</t>
  </si>
  <si>
    <t>Unterzeichnete beziehungsweise vertraglich integrierte Teilnahmeerklärung des Traubenerzeugers gegenüber der Genossenschaft als Zeichennutzerin und Unternehmergruppe</t>
  </si>
  <si>
    <t>BioZBW – Programmbestimmungen, Stand 01.01.2026; Verordnung (EU) 2018/848; Delegierte Verordnung (EU) 2021/715</t>
  </si>
  <si>
    <t>S. 22–23, Abschnitte 9.1–9.2; VO (EU) 2018/848, Art. 36</t>
  </si>
  <si>
    <t>Landwirtschaftliche Erzeugerbetriebe (Erzeuger) müssen über den Zeichennutzer eine Teilnahmeerklärung zum Biozeichen Baden-Württemberg abgeben. […] Bei bestehenden vertraglichen Beziehungen […] ist es möglich, die Inhalte der Teilnahmeerklärung […] als Zusatz oder Bestandteil dieser vertraglichen Regelungen abzuschließen.</t>
  </si>
  <si>
    <t>BIO-0002</t>
  </si>
  <si>
    <t>BioZBW – Teilnahmeerklärung Erzeuger, Stand 07.12.2017</t>
  </si>
  <si>
    <t>Teilnahmeerklärung Erzeuger BioZBW, S. 2, Datenschutzhinweis</t>
  </si>
  <si>
    <t>Die in der Teilnahmeerklärung angegebenen personenbezogenen Daten […] sind für die Durchführung und Überwachung sowie die Dokumentation im Rahmen des Bio-Zeichens Baden-Württemberg erforderlich.</t>
  </si>
  <si>
    <t>BIO-0013</t>
  </si>
  <si>
    <t>Verordnung (EU) 2018/848; Durchführungsverordnung (EU) 2021/279</t>
  </si>
  <si>
    <t>Art. 5 Buchst. b; https://eur-lex.europa.eu/eli/reg/2018/848/oj?locale=de; https://eur-lex.europa.eu/legal-content/DE/ALL/?uri=CELEX%3A32021R0279</t>
  </si>
  <si>
    <t>Unterzeichnete Mitgliedsvereinbarungen</t>
  </si>
  <si>
    <t>BIO-0014</t>
  </si>
  <si>
    <t>BioZBW – Programmbestimmungen, Stand 01.01.2025</t>
  </si>
  <si>
    <t>Programmbestimmungen BioZBW 2025, S. 8, Abschnitt 3.4</t>
  </si>
  <si>
    <t>Zeichennutzer sind Verarbeitungs- und Vermarktungsbetriebe […] Dazu schließen sie mit einem Lizenznehmer einen entsprechenden Zeichennutzungsvertrag ab.</t>
  </si>
  <si>
    <t>BIO-0015</t>
  </si>
  <si>
    <t>BioZBW – Datenschutzhinweise zum Zeichennutzungsvertrag, 2024</t>
  </si>
  <si>
    <t>Datenschutzhinweise Zeichennutzungsvertrag BioZBW 2024, S. 1, Abschnitt „Zwecke und Rechtsgrundlagen der Verarbeitung“</t>
  </si>
  <si>
    <t>BIO-0016</t>
  </si>
  <si>
    <t>Mitglieder- und Meldedatei aktualisieren und jährlich an den Lizenznehmer übermitteln</t>
  </si>
  <si>
    <t>Aktuelles Mitgliederverzeichnis sowie jährliche Auskunft über die vorliegenden Teilnahmeerklärungen</t>
  </si>
  <si>
    <t>jährlich sowie bei Änderungen</t>
  </si>
  <si>
    <t>Verordnung (EU) 2018/848; Durchführungsverordnung (EU) 2021/279; BioZBW – Programmbestimmungen, Stand 01.01.2026</t>
  </si>
  <si>
    <t>BioZBW-Programmbestimmungen 2026, S. 27, Abschnitt 11.3; VO (EU) 2021/279, Art. 5 Buchst. a</t>
  </si>
  <si>
    <t>Zeichennutzer […] sind verpflichtet, ihrem Lizenznehmer regelmäßig jährlich zum Stand 31. Oktober […] Auskunft über die bei ihnen vorliegenden Teilnahmeerklärungen von Erzeugern zu geben.</t>
  </si>
  <si>
    <t>BIO-0017</t>
  </si>
  <si>
    <t>Eigenkontrollcheckliste des Zeichennutzers ausfüllen, aktualisieren und ablegen</t>
  </si>
  <si>
    <t>Durchgängiges Eigenkontrollsystem des Zeichennutzers mit vollständig bearbeiteter Eigenkontrollcheckliste</t>
  </si>
  <si>
    <t>jährlich (Modellannahme)</t>
  </si>
  <si>
    <t>BioZBW – Programmbestimmungen, Stand 01.01.2026; BioZBW – Eigenkontrolle Zeichennutzer, Version 2024; BioZBW – Zusatzanforderungen für pflanzliche Produkte, Stand 2024</t>
  </si>
  <si>
    <t>BioZBW-Programmbestimmungen 2026, S. 14, Abschnitt 6.1; Eigenkontrolle Zeichennutzer 2024; ZA pflanzliche Produkte 2024, S. 8, Abschnitt III.3</t>
  </si>
  <si>
    <t>Jeder Zeichennutzer und gegebenenfalls von diesem eingebundene Dienstleister haben ein durchgängiges Eigenkontrollsystem zu führen und mit den vorgegebenen Checklisten nachzuweisen.</t>
  </si>
  <si>
    <t>BIO-0018</t>
  </si>
  <si>
    <t>Art. 36 Abs. 1 Buchst. g; Art. 5 Buchst. c; https://eur-lex.europa.eu/eli/reg/2018/848/oj?locale=de; https://eur-lex.europa.eu/legal-content/DE/ALL/?uri=CELEX%3A32021R0279</t>
  </si>
  <si>
    <t>Dokumentierte interne Kontrollen und Kontrollberichte</t>
  </si>
  <si>
    <t>BIO-0019</t>
  </si>
  <si>
    <t>Art. 5 Buchst. f; https://eur-lex.europa.eu/eli/reg/2018/848/oj?locale=de; https://eur-lex.europa.eu/legal-content/DE/ALL/?uri=CELEX%3A32021R0279</t>
  </si>
  <si>
    <t>Maßnahmen bei Nichtkonformität und Nachverfolgung</t>
  </si>
  <si>
    <t>BIO-0020</t>
  </si>
  <si>
    <t>Durchführungsverordnung (EU) 2021/279</t>
  </si>
  <si>
    <t>Art. 5 Buchst. g; https://eur-lex.europa.eu/legal-content/DE/ALL/?uri=CELEX%3A32021R0279</t>
  </si>
  <si>
    <t>Rückverfolgbarkeitsaufzeichnungen zu Betriebsmitteln, Erzeugung, Lagerung und Lieferung</t>
  </si>
  <si>
    <t>BIO-0021</t>
  </si>
  <si>
    <t>BIO-0022</t>
  </si>
  <si>
    <t>BIO-0023</t>
  </si>
  <si>
    <t>BIO-0024</t>
  </si>
  <si>
    <t>BIO-0025</t>
  </si>
  <si>
    <t>BIO-0026</t>
  </si>
  <si>
    <t>BIO-0027</t>
  </si>
  <si>
    <t>BIO-0028</t>
  </si>
  <si>
    <t>BIO-0029</t>
  </si>
  <si>
    <t>BIO-0038</t>
  </si>
  <si>
    <t>Warenflüsse zwischen zertifizierten und nicht zertifizierten Produkten trennen und nachvollziehbar dokumentieren</t>
  </si>
  <si>
    <t>Nachvollziehbare Trennung der Warenflüsse zwischen zertifizierten und nicht zertifizierten Produkten in zentralen Einrichtungen</t>
  </si>
  <si>
    <t>BioZBW-Programmbestimmungen 2026, S. 23, Abschnitt 9.2; ZA pflanzliche Produkte 2024, S. 9, Abschnitte III.6–7</t>
  </si>
  <si>
    <t>Zeichennutzer sind verpflichtet, ihre Warenflüsse sowohl in der Warenwirtschaft als auch im Angebot gegenüber dem Endverbraucher bezüglich der Programmware nachvollziehbar zu trennen und zu kennzeichnen.</t>
  </si>
  <si>
    <t>BIO-0039</t>
  </si>
  <si>
    <t>Art. 5 Buchst. f; Art. 6; https://eur-lex.europa.eu/eli/reg/2018/848/oj?locale=de; https://eur-lex.europa.eu/legal-content/DE/ALL/?uri=CELEX%3A32021R0279</t>
  </si>
  <si>
    <t>Dokumentierte Bearbeitung von Abweichungen</t>
  </si>
  <si>
    <t>BIO-0040</t>
  </si>
  <si>
    <t>Art. 36 Abs. 1 Buchst. g; https://eur-lex.europa.eu/eli/reg/2018/848/oj?locale=de; https://eur-lex.europa.eu/legal-content/DE/ALL/?uri=CELEX%3A32021R0279</t>
  </si>
  <si>
    <t>Dokumentation des internen Kontrollsystems</t>
  </si>
  <si>
    <t>BIO-0041</t>
  </si>
  <si>
    <t>Kategorisierung und Meldung von Nichtkonformität</t>
  </si>
  <si>
    <t>BIO-0042</t>
  </si>
  <si>
    <t>QMS-Verfahren, Unterlagen und Aufzeichnungen erstellen, aktualisieren und bereitstellen</t>
  </si>
  <si>
    <t>Aktuelle und vollständig verfügbare QMS-Verfahren, Unterlagen und Aufzeichnungen der Unternehmergruppe</t>
  </si>
  <si>
    <t>Verordnung (EU) 2018/848; Delegierte Verordnung (EU) 2021/715; Durchführungsverordnung (EU) 2021/279</t>
  </si>
  <si>
    <t>VO (EU) 2018/848, Art. 36; VO (EU) 2021/715, Art. 1 Nr. 1 Buchst. b und c; VO (EU) 2021/279, Art. 5</t>
  </si>
  <si>
    <t>Entwicklung der IKS-Verfahren und Ausarbeitung der entsprechenden Unterlagen und Aufzeichnungen, Aktualisierung und Verfügbar machen dieser für die IKS-Inspektoren und gegebenenfalls die Mitglieder der Gruppe.</t>
  </si>
  <si>
    <t>BIO-0043</t>
  </si>
  <si>
    <t>QMS anhand der Unterlagen verifizieren und Ergebnis dokumentieren</t>
  </si>
  <si>
    <t>Verifiziertes QMS</t>
  </si>
  <si>
    <t>Art. 36; Art. 7; https://eur-lex.europa.eu/eli/reg/2018/848/oj?locale=de; https://eur-lex.europa.eu/legal-content/DE/ALL/?uri=CELEX%3A32021R0279</t>
  </si>
  <si>
    <t>Verifizierung des internen Kontrollsystems</t>
  </si>
  <si>
    <t>BIO-0044</t>
  </si>
  <si>
    <t>Prüfergebnisse dokumentieren und Quartalsmeldung an die MBW übermitteln</t>
  </si>
  <si>
    <t>Dokumentierte Prüfergebnisse sowie fristgerechte Quartalsmeldung der Zertifizierungsstelle</t>
  </si>
  <si>
    <t>BioZBW – Programmbestimmungen, Stand 01.01.2026; Durchführungsverordnung (EU) 2021/279</t>
  </si>
  <si>
    <t>BioZBW-Programmbestimmungen 2026, S. 28, Abschnitt 11.5; VO (EU) 2021/279, Art. 7</t>
  </si>
  <si>
    <t>Über die Zertifizierungstätigkeit ist regelmäßig zu einem Quartalsende ein zusammenfassender Bericht zu erstellen. […] Die Berichte müssen jeweils im darauffolgenden Quartal […] bei der MBW abgegeben werden.</t>
  </si>
  <si>
    <t>BIO-0047</t>
  </si>
  <si>
    <t>Mitgliederliste mit Kontrollstatus und Versionsstand aktualisieren</t>
  </si>
  <si>
    <t>Aktuelle Mitgliederliste mit Status, Kontrollangaben und Versionsstand</t>
  </si>
  <si>
    <t>bei jeder Änderung</t>
  </si>
  <si>
    <t>Art. 5 Buchst. a und letzter Absatz</t>
  </si>
  <si>
    <t>Die in Absatz 1 Buchstabe a genannte Liste der Mitglieder wird vom IKS-Verwalter aktualisiert, sobald sich eines der [...] aufgeführten Elemente ändert.</t>
  </si>
  <si>
    <t>BIO-0048</t>
  </si>
  <si>
    <t>interne QMS-Kontrolleure ernennen sowie Interessenkonflikte und Qualifikation dokumentieren</t>
  </si>
  <si>
    <t>Dokumentierte Ernennung, Unabhängigkeit und Qualifikation der interne QMS-Kontrolleure</t>
  </si>
  <si>
    <t>bei Ernennung und jährlich</t>
  </si>
  <si>
    <t>Delegierte Verordnung (EU) 2021/715; Durchführungsverordnung (EU) 2021/279</t>
  </si>
  <si>
    <t>VO (EU) 2021/715, Art. 1 Nr. 1 Buchst. c Ziff. vii und ix; VO (EU) 2021/279, Art. 5 Buchst. d und j</t>
  </si>
  <si>
    <t>jährliche Überprüfung der Erklärungen zu Interessenkonflikten der IKS-Inspektoren</t>
  </si>
  <si>
    <t>BIO-0049</t>
  </si>
  <si>
    <t>interne QMS-Kontrolleure und Mitglieder schulen und Schulungsnachweise pflegen</t>
  </si>
  <si>
    <t>Jährliche Schulungen der interne QMS-Kontrolleure und dokumentierte Schulungen der Gruppenmitglieder</t>
  </si>
  <si>
    <t>VO (EU) 2021/715, Art. 1 Nr. 1 Buchst. b Ziff. iv und v; VO (EU) 2021/279, Art. 5 Buchst. d und e</t>
  </si>
  <si>
    <t>Schulungen der IKS-Inspektoren, die mindestens einmal jährlich stattfinden [...] Schulungen der Mitglieder der Gruppe zu den IKS-Verfahren</t>
  </si>
  <si>
    <t>BIO-0050</t>
  </si>
  <si>
    <t>Interne Inspektionen terminieren und Inspektionsplan pflegen</t>
  </si>
  <si>
    <t>Vom QMS-verantwortliche Person geplante und fristgerecht durchgeführte interne Inspektionen</t>
  </si>
  <si>
    <t>Delegierte Verordnung (EU) 2021/715</t>
  </si>
  <si>
    <t>Art. 1 Nr. 1 Buchst. c Ziff. viii</t>
  </si>
  <si>
    <t>Anberaumung interner Inspektionen und Sicherstellung ihrer angemessenen Durchführung gemäß dem [...] Plan des IKS-Verwalters</t>
  </si>
  <si>
    <t>BIO-0051</t>
  </si>
  <si>
    <t>Neue Mitglieder, Produktionseinheiten oder Tätigkeiten prüfen und Zulassung dokumentieren</t>
  </si>
  <si>
    <t>Dokumentierte Zulassung neuer Mitglieder, Produktionseinheiten und Tätigkeiten</t>
  </si>
  <si>
    <t>bei Aufnahme oder Änderung</t>
  </si>
  <si>
    <t>Art. 1 Nr. 1 Buchst. b Ziff. iii und Buchst. c Ziff. x</t>
  </si>
  <si>
    <t>Zulassung neuer Mitglieder oder neuer Produktionseinheiten oder neuer Tätigkeiten bestehender Mitglieder</t>
  </si>
  <si>
    <t>BIO-0052</t>
  </si>
  <si>
    <t>Erhebliche Verstöße, Mitgliedssperren und Vermarktungsverbote an die Kontrollstelle melden</t>
  </si>
  <si>
    <t>Unverzügliche Meldung erheblicher oder kritischer Verstöße, Sperren und Vermarktungsverbote</t>
  </si>
  <si>
    <t>Art. 6</t>
  </si>
  <si>
    <t>Der IKS-Verwalter teilt der zuständigen Behörde oder gegebenenfalls der Kontrollbehörde oder Kontrollstelle unverzüglich Folgendes mit</t>
  </si>
  <si>
    <t>BIO-0053</t>
  </si>
  <si>
    <t>Vorhandene Betriebsnachweise für das QMS zusammenstellen und der Unternehmergruppe übermitteln</t>
  </si>
  <si>
    <t>Vollständig zusammengestelltes und an die Unternehmergruppe übermitteltes QMS-Nachweispaket</t>
  </si>
  <si>
    <t>VO (EU) 2018/848, Art. 36; VO (EU) 2021/279, Art. 5</t>
  </si>
  <si>
    <t>Der IKS-Verwalter […] führt über jedes Mitglied […] Aufzeichnungen und bewahrt diese auf […] und stellt die erforderlichen Unterlagen für die amtlichen Kontrollen bereit.</t>
  </si>
  <si>
    <t>BIO-0054</t>
  </si>
  <si>
    <t>Umsetzung von Korrekturmaßnahmen dokumentieren und der Unternehmergruppe melden</t>
  </si>
  <si>
    <t>Dokumentierter Umsetzungsnachweis zu festgelegten Korrekturmaßnahmen und Mitteilung an die Unternehmergruppe</t>
  </si>
  <si>
    <t>Art. 5 Buchst. f</t>
  </si>
  <si>
    <t>Maßnahmen bei Nichtkonformität […] einschließlich des Zeitplans für ihre Durchführung und der Überwachung ihres Abschlusses.</t>
  </si>
  <si>
    <t>BIO-0055</t>
  </si>
  <si>
    <t>Dokumentierte Beauftragung der Kontrollstelle für die externe Kontrolle der Unternehmergruppe</t>
  </si>
  <si>
    <t>VO (EU) 2018/848, Art. 36; VO (EU) 2021/279, Art. 7</t>
  </si>
  <si>
    <t>Die Gruppe […] unterliegt einem Kontrollsystem für die amtlichen Kontrollen und anderen amtlichen Tätigkeiten.</t>
  </si>
  <si>
    <t>BIO-0056</t>
  </si>
  <si>
    <t>QMS-Kontrollunterlagen zusammenstellen und der Kontrollstelle bereitstellen</t>
  </si>
  <si>
    <t>Vollständiges, prüffähiges QMS-Kontrollpaket für die externe Kontrollstelle</t>
  </si>
  <si>
    <t>Art. 5 und 7</t>
  </si>
  <si>
    <t>Der IKS-Verwalter stellt […] die Dokumente und Aufzeichnungen der Gruppe […] zur Verfügung.</t>
  </si>
  <si>
    <t>BIO-0057</t>
  </si>
  <si>
    <t>Art. 7</t>
  </si>
  <si>
    <t>Die zuständige Behörde oder gegebenenfalls die Kontrollbehörde oder Kontrollstelle überprüft jährlich die Einrichtung und Funktionsweise des IKS.</t>
  </si>
  <si>
    <t>BIO-0058</t>
  </si>
  <si>
    <t>Dokumentierte Zertifizierungsentscheidung und übermittelte Zertifikatsdaten für die Unternehmergruppe</t>
  </si>
  <si>
    <t>Verordnung (EU) 2018/848</t>
  </si>
  <si>
    <t>Art. 36 Abs. 2 in Verbindung mit Art. 35</t>
  </si>
  <si>
    <t>Das in Artikel 35 genannte Zertifikat wird für die gesamte Gruppe ausgestellt.</t>
  </si>
  <si>
    <t>BIO-0059</t>
  </si>
  <si>
    <t>BIO-0060</t>
  </si>
  <si>
    <t>Zeichennutzungsvertrag der Genossenschaft prüfen und gegenzeichnen sowie Programmanmeldung weiterleiten</t>
  </si>
  <si>
    <t>Gegengezeichneter Zeichennutzungsvertrag und programmgemäß registrierte Genossenschaft</t>
  </si>
  <si>
    <t>BioZBW – Programmbestimmungen, Stand 01.01.2026</t>
  </si>
  <si>
    <t>S. 22, Abschnitt 9.2</t>
  </si>
  <si>
    <t>BIO-0061</t>
  </si>
  <si>
    <t>BioZBW-Produktaufstellung aktualisieren und für Kontrollen bereitstellen</t>
  </si>
  <si>
    <t>Stets aktuelle Aufstellung der mit BioZBW gekennzeichneten und vermarkteten Produkte</t>
  </si>
  <si>
    <t>S. 27, Abschnitt 11.3</t>
  </si>
  <si>
    <t>Zeichennutzer sind verpflichtet, eine stets aktuelle Aufstellung der Produkte vorzuhalten, die mit dem Biozeichen Baden-Württemberg gekennzeichnet und vermarktet werden.</t>
  </si>
  <si>
    <t>BIO-0062</t>
  </si>
  <si>
    <t>Qualitätsprüfung administrativ anmelden sowie Ergebnisnachweis zuordnen und bereithalten</t>
  </si>
  <si>
    <t>Aktueller Qualitätsprüfungsnachweis für BioZBW-Verarbeitungsprodukte</t>
  </si>
  <si>
    <t>gemäß Zertifikatslaufzeit; im Modell jährlich</t>
  </si>
  <si>
    <t>BioZBW – Programmbestimmungen, Stand 01.01.2026; BioZBW – Zusatzanforderungen für pflanzliche Produkte, Stand 2024</t>
  </si>
  <si>
    <t>Programmbestimmungen 2026, S. 15–16, Abschnitte 6.4–6.4.1; ZA pflanzliche Produkte 2024, S. 8–9, Abschnitt III.5</t>
  </si>
  <si>
    <t>Verarbeitungsprodukte, für die eine Zeichennutzung erfolgt, müssen regelmäßig zu Qualitätsprüfungen angestellt werden. […] Der Qualitätsnachweis erfolgt durch regelmäßige Teilnahme an den Prüfungen der DLG oder an vergleichbaren Qualitätsprüfungen.</t>
  </si>
  <si>
    <t>BIO-0063</t>
  </si>
  <si>
    <t>Kostenrechnung – enge zertifizierungsspezifische Szenarien</t>
  </si>
  <si>
    <t>Aktuell sind ausschließlich QZBW und BioZBW ohne fachrechtliche/betriebliche Basisadministration. Alle Ergebnisse greifen formelbasiert auf die beiden Anforderungsblätter zu.</t>
  </si>
  <si>
    <t>Kennzahl</t>
  </si>
  <si>
    <t>QZBW (EUR)</t>
  </si>
  <si>
    <t>BioZBW (EUR)</t>
  </si>
  <si>
    <t>Differenz QZBW – BioZBW (EUR)</t>
  </si>
  <si>
    <t>Gesamtkosten eng</t>
  </si>
  <si>
    <t>Gesamtzeit eng (Std.)</t>
  </si>
  <si>
    <t>Anzahl enthaltener Tätigkeiten</t>
  </si>
  <si>
    <t>Abstimmung</t>
  </si>
  <si>
    <t>Aktuelle Arbeitsversion (EUR)</t>
  </si>
  <si>
    <t>Interne V3 vor Abgrenzung (EUR)</t>
  </si>
  <si>
    <t>Methodische Veränderung (EUR)</t>
  </si>
  <si>
    <t>Status</t>
  </si>
  <si>
    <t>QZBW eng</t>
  </si>
  <si>
    <t>INFO – methodisch bereinigt</t>
  </si>
  <si>
    <t>BioZBW eng</t>
  </si>
  <si>
    <t>Differenz QZBW – BioZBW</t>
  </si>
  <si>
    <t>Akteursgruppe</t>
  </si>
  <si>
    <t>QZBW Kosten (EUR)</t>
  </si>
  <si>
    <t>BioZBW Kosten (EUR)</t>
  </si>
  <si>
    <t>Differenz (EUR)</t>
  </si>
  <si>
    <t>QZBW Zeit (Std.)</t>
  </si>
  <si>
    <t>BioZBW Zeit (Std.)</t>
  </si>
  <si>
    <t>Rollenaufteilung Genossenschaft</t>
  </si>
  <si>
    <t>Rolle der Genossenschaft</t>
  </si>
  <si>
    <t>Separate Zeichennutzer / Verarbeitungsstufe außerhalb der Genossenschaft</t>
  </si>
  <si>
    <t>Summe Genossenschaft</t>
  </si>
  <si>
    <t>Personaltyp</t>
  </si>
  <si>
    <t>QZBW Summe Fallzahlen</t>
  </si>
  <si>
    <t>BioZBW Summe Fallzahlen</t>
  </si>
  <si>
    <t>Datenstatus</t>
  </si>
  <si>
    <t>Betriebsleiter*in / Geschäftsführer*in</t>
  </si>
  <si>
    <t>Modellwert aus Ausgangsdatei; empirischer Status nicht belegt</t>
  </si>
  <si>
    <t>Verwaltungskraft</t>
  </si>
  <si>
    <t>Facharbeiter*in</t>
  </si>
  <si>
    <t>Methodische Hinweise</t>
  </si>
  <si>
    <t>Die enge Rechnung summiert ausschließlich Zeilen mit „In enger Kostenrechnung enthalten = Ja“. Betrachtet wird die gesamte Weinwertschöpfungskette vom Traubenerzeuger bis zur Kontrollstelle.</t>
  </si>
  <si>
    <t>Monetarisiert werden nur zusätzliche zertifizierungsspezifische administrative Tätigkeiten: Informationen erfassen, übertragen, prüfen, verarbeiten, ablegen oder kommunizieren.</t>
  </si>
  <si>
    <t>Die Erstellung fachrechtlich ohnehin erforderlicher Dünge-, Pflanzenschutz-, Ernte- oder Verkaufsaufzeichnungen ist ausgeschlossen. Die zusätzliche gruppenbezogene Prüfung dieser vorhandenen Nachweise bleibt enthalten.</t>
  </si>
  <si>
    <t>Physische Standort-, Prozess- und Vor-Ort-Prüfungen sind ausgeschlossen. Ob die Anforderungen ausgeführt wurden, wird administrativ bereits über Eigenkontrollchecklisten, Nachweisprüfung und Kontrollprotokolle beziehungsweise physisch bei der Vor-Ort-Kontrolle geprüft; eine zusätzliche Monetarisierung würde Doppelzählungen begünstigen.</t>
  </si>
  <si>
    <t>Für BioZBW ist eine rechtskonforme, bereits EU-ökologisch zertifizierte Weinwertschöpfungskette Baseline. Direkte EU-Gruppenanforderungen und beschlossene funktionale Übertragungen aus QZBW sind im Anforderungsblatt getrennt gekennzeichnet.</t>
  </si>
  <si>
    <t>HACCP ist bei der Weinbereitung/Verarbeitung fachlich relevant, wird aber nicht als separater QZBW- oder BioZBW-Zusatzkostenblock berechnet, weil ein HACCP-basiertes Verfahren bereits nach allgemeinem Lebensmittelhygienerecht erforderlich ist.</t>
  </si>
  <si>
    <t>Kontrollstellenkosten sind modellierte interne Arbeitszeit. Sie sind nicht mit Kontrollgebühren, Rechnungen oder Förderzahlungen gleichzusetzen.</t>
  </si>
  <si>
    <t>Die SankeyMATIC-Codes enthalten ausschließlich QZBW und BioZBW – jeweils nur zertifizierungsspezifisch – und werden mit vorgeschaltetem Gesamtflow aus den enthaltenen Zeilen dieser Arbeitsmappe neu erzeugt.</t>
  </si>
  <si>
    <t>Die Tätigkeiten der Genossenschaft werden getrennt nach „Administrative Tätigkeiten im QMS der Erzeugergruppe“ und „Administrative Tätigkeiten als Zeichennutzer“ ausgewiesen. Normativ belegte, aber nur über analoge Zeitansätze monetarisierte QMS-Pflichten sind in den Annahmen ausdrücklich als noch empirisch zu validieren gekennzeichnet.</t>
  </si>
  <si>
    <t>Die Tätigkeiten der Genossenschaft werden getrennt nach „Administrative Tätigkeiten im QMS der Erzeugergruppe“ und „Administrative Tätigkeiten als Zeichennutzer“ ausgewiesen. Weitere QMS-Pflichten ohne belastbaren Zeitansatz bleiben in den Anforderungsblättern sichtbar, werden aber nicht monetarisiert.</t>
  </si>
  <si>
    <t>Die frühere QZBW-Position Rückstandsuntersuchungen (240 EUR) ist ausgeschlossen: Für Wein, Sekt und Perlwein ist in der produktspezifischen Kontrollfrequenztabelle kein Rückstandsuntersuchungsplan ausgewiesen.</t>
  </si>
  <si>
    <t>V9 ergänzt nach vollständiger Prüfung der BioZBW-Programmbestimmungen 2026 die aktuelle BioZBW-Produktaufstellung, die administrative Nachweisführung der Qualitätsprüfung und die jährliche Lizenznehmermeldung. Bereits vorhandene Meldepositionen wurden präzisiert; physische Prüfungen, Laborleistungen und nur bedingt ausgelöste Vorgänge bleiben außerhalb der engen Rechnung.</t>
  </si>
  <si>
    <t>Die Datenflussanalyse darf fachrechtlich bereits vorhandene Nachweise im QMS-Prozess erneut darstellen, weil sie alle relevanten Datenflüsse abbildet. In der Kostenanalyse werden dagegen nur die zusätzliche Bereitstellung beziehungsweise QMS-Prüfung dieser Nachweise, nicht deren fachrechtliche Ersterstellung, monetarisiert.</t>
  </si>
  <si>
    <t>Quellenregister</t>
  </si>
  <si>
    <t>Dokumente und Rechtsgrundlagen der Arbeitsversion. Dokumenttitel und offizielle Online-Fundstellen dienen der wissenschaftlichen Nachvollziehbarkeit.</t>
  </si>
  <si>
    <t>Quellen-ID</t>
  </si>
  <si>
    <t>Dokumenttitel</t>
  </si>
  <si>
    <t>Version / Stand</t>
  </si>
  <si>
    <t>Dateiname</t>
  </si>
  <si>
    <t>Offizielle Fundstelle / Bezugsquelle</t>
  </si>
  <si>
    <t>Behandelte Akteursrollen</t>
  </si>
  <si>
    <t>Verwendung in der Kostenrechnung</t>
  </si>
  <si>
    <t>Bemerkungen</t>
  </si>
  <si>
    <t>SRC-001</t>
  </si>
  <si>
    <t>Beide</t>
  </si>
  <si>
    <t>Kostenanalyse – interne Ausgangsarbeitsmappe</t>
  </si>
  <si>
    <t>V2e, 2026-07-19</t>
  </si>
  <si>
    <t>Kostenschätzungen-data-V2e_korrigiert_2026-07-19.xlsx</t>
  </si>
  <si>
    <t>In dieser Arbeitsmappe dokumentiert; kein externer Dateiverweis</t>
  </si>
  <si>
    <t>Alle Akteursrollen</t>
  </si>
  <si>
    <t>Primäre Quelle für Zeitansätze, Fallzahlen und Stundensätze</t>
  </si>
  <si>
    <t>Datei bleibt unverändert; interne Herkunftsangabe wird vor einer späteren Publikationsfassung neutralisiert.</t>
  </si>
  <si>
    <t>SRC-002</t>
  </si>
  <si>
    <t>Zusatzanforderungen Wein</t>
  </si>
  <si>
    <t>2025</t>
  </si>
  <si>
    <t>QZBW - ZA Wein 2025.pdf</t>
  </si>
  <si>
    <t>https://mbw.imageplant.de/</t>
  </si>
  <si>
    <t>Traubenerzeuger; Zeichennutzer; Weinbereitung</t>
  </si>
  <si>
    <t>QZBW-Anforderungen, Qualitätsnachweis und HACCP-Einordnung</t>
  </si>
  <si>
    <t>Qualitätsnachweis S. 3 und 7; HACCP S. 7.</t>
  </si>
  <si>
    <t>SRC-003</t>
  </si>
  <si>
    <t>Zusatzanforderungen für pflanzliche Produkte</t>
  </si>
  <si>
    <t>2024</t>
  </si>
  <si>
    <t>ZA BioZBW Pflanzlich 2024.pdf</t>
  </si>
  <si>
    <t>Erzeuger; Zeichennutzer; Verarbeitung</t>
  </si>
  <si>
    <t>BioZBW-Anforderungen und HACCP-Einordnung</t>
  </si>
  <si>
    <t>Analytische Anforderungen sind produktbezogen auf Säfte/Essige; keine getrennte Grundlage für Wein-Zucker/Säure/Alkohol/Sensorik/Nmin.</t>
  </si>
  <si>
    <t>SRC-004</t>
  </si>
  <si>
    <t>QZBW; methodisches Übertragungsvorbild</t>
  </si>
  <si>
    <t>Anforderungen an Erzeugergruppen</t>
  </si>
  <si>
    <t>2023</t>
  </si>
  <si>
    <t>Anforderungen Erzeugergruppen Stand 2023_2.pdf</t>
  </si>
  <si>
    <t>Erzeugergruppe; QMS; interne Audits und Kontrollen</t>
  </si>
  <si>
    <t>QZBW-Gruppenzertifizierung und dokumentiertes Übertragungsvorbild für nicht unmittelbar belegte BioZBW-Detailpositionen</t>
  </si>
  <si>
    <t>Keine normative BioZBW-Quelle; eine Verwendung als Übertragungsvorbild wird ausschließlich unter Zahlenherkunft/Übertragungsstatus ausgewiesen.</t>
  </si>
  <si>
    <t>SRC-005</t>
  </si>
  <si>
    <t>konsolidierter Rechtsbezug</t>
  </si>
  <si>
    <t>Ökoverordnung 2018_848.pdf</t>
  </si>
  <si>
    <t>https://eur-lex.europa.eu/eli/reg/2018/848/oj?locale=de</t>
  </si>
  <si>
    <t>Unternehmergruppe; QMS</t>
  </si>
  <si>
    <t>Rechtsgrundlage Gruppenzertifizierung</t>
  </si>
  <si>
    <t>Art. 36; https://eur-lex.europa.eu/eli/reg/2018/848/oj?locale=de</t>
  </si>
  <si>
    <t>SRC-006</t>
  </si>
  <si>
    <t>2021</t>
  </si>
  <si>
    <t>Ökoverordnung  2021_279.pdf</t>
  </si>
  <si>
    <t>https://eur-lex.europa.eu/legal-content/DE/ALL/?uri=CELEX%3A32021R0279</t>
  </si>
  <si>
    <t>Mitglieder; QMS; Kontrollstelle</t>
  </si>
  <si>
    <t>Dokumente, Aufzeichnungen, Nichtkonformität und externe Verifizierung</t>
  </si>
  <si>
    <t>Art. 4 bis 7; https://eur-lex.europa.eu/legal-content/DE/ALL/?uri=CELEX%3A32021R0279</t>
  </si>
  <si>
    <t>SRC-007</t>
  </si>
  <si>
    <t>Verordnung (EG) Nr. 852/2004 über Lebensmittelhygiene</t>
  </si>
  <si>
    <t>konsolidiert 2021-03-24</t>
  </si>
  <si>
    <t>EUR-Lex</t>
  </si>
  <si>
    <t>https://eur-lex.europa.eu/legal-content/DE/ALL/?uri=CELEX%3A02004R0852-20210324</t>
  </si>
  <si>
    <t>Zeichennutzer; Weinbereitung/Verarbeitung</t>
  </si>
  <si>
    <t>Fachrechtliche HACCP-Baseline</t>
  </si>
  <si>
    <t>Art. 5 gilt für Verarbeitung nach der Primärproduktion; Primärproduktion ist ausgenommen.</t>
  </si>
  <si>
    <t>SRC-008</t>
  </si>
  <si>
    <t>Fachrechtliche Baseline</t>
  </si>
  <si>
    <t>Weinverordnung</t>
  </si>
  <si>
    <t>geltende Fassung</t>
  </si>
  <si>
    <t>Gesetze im Internet</t>
  </si>
  <si>
    <t>https://www.gesetze-im-internet.de/weinv_1995/BJNR063010995.html</t>
  </si>
  <si>
    <t>Weinbereitung/Verarbeitung; Antragsteller Qualitätsweinprüfung</t>
  </si>
  <si>
    <t>Analytischer und sensorischer Untersuchungsbefund der amtlichen Qualitätsweinprüfung</t>
  </si>
  <si>
    <t>§§ 22 und 23 sowie Anlage 10; https://www.gesetze-im-internet.de/weinv_1995/anlage_10.html</t>
  </si>
  <si>
    <t>SRC-009</t>
  </si>
  <si>
    <t>Düngeverordnung</t>
  </si>
  <si>
    <t>https://www.gesetze-im-internet.de/d_v_2017/__4.html</t>
  </si>
  <si>
    <t>Traubenerzeuger</t>
  </si>
  <si>
    <t>Ermittlung des verfügbaren Stickstoffs und Düngebedarfsermittlung</t>
  </si>
  <si>
    <t>§ 4 Abs. 4; Nmin-Bodenprobe ist eine mögliche, nicht generell die einzige Ermittlungsmethode.</t>
  </si>
  <si>
    <t>SRC-010</t>
  </si>
  <si>
    <t>SankeyMATIC-Code 1</t>
  </si>
  <si>
    <t>v2</t>
  </si>
  <si>
    <t>Sankey_Code_02_QZBW_nur_zertifizierungsspezifisch_v2.txt</t>
  </si>
  <si>
    <t>Im Blatt „SankeyMATIC-Codes“ dieser Arbeitsmappe enthalten</t>
  </si>
  <si>
    <t>Visualisierung</t>
  </si>
  <si>
    <t>Aus den enthaltenen Zeilen der Arbeitsversion neu generiert</t>
  </si>
  <si>
    <t>Zertifizierungsspezifisches QZBW-Szenario; Code und vorgeschalteter Gesamtflow werden aus den enthaltenen QZBW-Zeilen dieser Arbeitsmappe neu erzeugt.</t>
  </si>
  <si>
    <t>SRC-011</t>
  </si>
  <si>
    <t>SankeyMATIC-Code 2</t>
  </si>
  <si>
    <t>Sankey_Code_04_BioZBW_nur_zertifizierungsspezifisch_v2.txt</t>
  </si>
  <si>
    <t>Zertifizierungsspezifisches BioZBW-Szenario; Code und vorgeschalteter Gesamtflow werden aus den enthaltenen BioZBW-Zeilen dieser Arbeitsmappe neu erzeugt.</t>
  </si>
  <si>
    <t>SRC-012</t>
  </si>
  <si>
    <t>Programmbestimmungen QZBW</t>
  </si>
  <si>
    <t>Stand 01.01.2025</t>
  </si>
  <si>
    <t>01-Programmbestimmungen QZBW Stand 2025.pdf</t>
  </si>
  <si>
    <t>Alle QZBW-Akteure</t>
  </si>
  <si>
    <t>Verträge, Eigenkontrolle, Dokumentation, neutrale Kontrolle, Rückstandsuntersuchungen und Meldepflichten</t>
  </si>
  <si>
    <t>Zentrale Quelle der neu ergänzten zeilenbezogenen Zitate.</t>
  </si>
  <si>
    <t>SRC-013</t>
  </si>
  <si>
    <t>Teilnahmevereinbarung QZBW Pflanze</t>
  </si>
  <si>
    <t>Stand 05.12.2024</t>
  </si>
  <si>
    <t>01-Teilnahmevereinbarung  QZBW Pflanze 05122024.pdf</t>
  </si>
  <si>
    <t>Traubenerzeuger; Lizenznehmer</t>
  </si>
  <si>
    <t>Vertragliche Teilnahme und Pflichten des Erzeugerbetriebs</t>
  </si>
  <si>
    <t>Wörtlicher Beleg in Anforderungen_QZBW.</t>
  </si>
  <si>
    <t>SRC-014</t>
  </si>
  <si>
    <t>Datenschutzhinweise zur Teilnahmevereinbarung</t>
  </si>
  <si>
    <t>Stand 02.07.2021</t>
  </si>
  <si>
    <t>03-Datenschutzhinweise Teilnahmevereinbarung QZBW 02072021_1.pdf</t>
  </si>
  <si>
    <t>Datenschutz im Zusammenhang mit der Teilnahmevereinbarung</t>
  </si>
  <si>
    <t>SRC-015</t>
  </si>
  <si>
    <t>Zeichennutzungsvertrag QZBW</t>
  </si>
  <si>
    <t>Stand 28.05.2021</t>
  </si>
  <si>
    <t>01-Zeichennutzungsvertrag QZBW 28052021_1.pdf</t>
  </si>
  <si>
    <t>Zeichennutzer; Lizenznehmer</t>
  </si>
  <si>
    <t>Vertragliche Zeichennutzung</t>
  </si>
  <si>
    <t>Ergänzende Vertragsquelle.</t>
  </si>
  <si>
    <t>SRC-016</t>
  </si>
  <si>
    <t>Datenschutzhinweise zum Zeichennutzungsvertrag</t>
  </si>
  <si>
    <t>02-Datenschutzhinweise Zeichennutzungsvertrag QZBW 020720201_1.pdf</t>
  </si>
  <si>
    <t>Datenschutz im Zusammenhang mit dem Zeichennutzungsvertrag</t>
  </si>
  <si>
    <t>SRC-017</t>
  </si>
  <si>
    <t>Eigenkontrolle Erzeuger – Wein/Keltertrauben</t>
  </si>
  <si>
    <t>Version 2024</t>
  </si>
  <si>
    <t>Checklisten Eigenkontrolle Erzeuger-Wein EK CL ERZ ZA Wein Keltertrauben 2024_1.pdf</t>
  </si>
  <si>
    <t>Betriebsheft, Pflanzenschutz- und Düngedokumentation sowie Eigenkontrolle</t>
  </si>
  <si>
    <t>Wörtliche Belege in Anforderungen_QZBW.</t>
  </si>
  <si>
    <t>SRC-018</t>
  </si>
  <si>
    <t>Eigenkontrolle Zeichennutzer – Wein</t>
  </si>
  <si>
    <t>Eigenkontrolle pflanzliche Bereiche-EK CL ZN Wein 2024_1.pdf</t>
  </si>
  <si>
    <t>Zeichennutzer; Weinbereitung</t>
  </si>
  <si>
    <t>Eigenkontrolle, Rückverfolgbarkeit, Warenbegleitdokumente und GVO-Nachweise</t>
  </si>
  <si>
    <t>SRC-019</t>
  </si>
  <si>
    <t>Neutrale Kontrolle Landwirtschaftliche Betriebe – Zusatzcheckliste „Ohne Gentechnik“</t>
  </si>
  <si>
    <t>02-CL ERZ ZA Zusatzcheckliste Ohne Gentechnik 2025.pdf</t>
  </si>
  <si>
    <t>Traubenerzeuger; Zertifizierungsstelle</t>
  </si>
  <si>
    <t>Existenz und Titel der neutralen GVO-Zusatzcheckliste</t>
  </si>
  <si>
    <t>Dokumenttitel als wörtlicher Beleg in Anforderungen_QZBW.</t>
  </si>
  <si>
    <t>SRC-020</t>
  </si>
  <si>
    <t>Neutrale Kontrolle Zeichennutzer – Zusatzcheckliste „Ohne Gentechnik“</t>
  </si>
  <si>
    <t>02-CL ZNK Zusatzcheckliste Ohne Gentechnik 2025.pdf</t>
  </si>
  <si>
    <t>Zeichennutzer; Zertifizierungsstelle</t>
  </si>
  <si>
    <t>SRC-021</t>
  </si>
  <si>
    <t>Programmbestimmungen BioZBW</t>
  </si>
  <si>
    <t>Stand 01.01.2026</t>
  </si>
  <si>
    <t>Programmbestimmungen BioZeichenBW 2026.pdf</t>
  </si>
  <si>
    <t>Alle BioZBW-Akteure</t>
  </si>
  <si>
    <t>Teilnahme, Zeichennutzung, Eigenkontrolle, Dokumentation, Qualitätsprüfungen, Informationspflichten und neutrale Kontrolle</t>
  </si>
  <si>
    <t>Ersetzt in V9 die inhaltlich weitgehend identische Fassung 2025; neue Vollständigkeitsprüfung insbesondere zu Abschnitten 6.1, 6.4, 9.2–9.3 und 11.3–11.5.</t>
  </si>
  <si>
    <t>SRC-022</t>
  </si>
  <si>
    <t>Teilnahmeerklärung Erzeuger</t>
  </si>
  <si>
    <t>Stand 07.12.2017</t>
  </si>
  <si>
    <t>01-Teilnahmeerklärung Erzeuger BioZBW 07122017.pdf</t>
  </si>
  <si>
    <t>Erzeuger; Zeichennutzer; Lizenznehmer</t>
  </si>
  <si>
    <t>Teilnahme, Jahresproduktion, Anbaufläche und Datenschutz</t>
  </si>
  <si>
    <t>Wörtliche Belege in Anforderungen_BioZBW.</t>
  </si>
  <si>
    <t>SRC-023</t>
  </si>
  <si>
    <t>02-Zeichennutzungsvertrag Datenschutzhinweise BiOZBW 2024.docx</t>
  </si>
  <si>
    <t>Wörtlicher Beleg in Anforderungen_BioZBW.</t>
  </si>
  <si>
    <t>SRC-024</t>
  </si>
  <si>
    <t>Eigenkontrolle Zeichennutzer</t>
  </si>
  <si>
    <t>01-BioZBW EK CL ZA Zeichennutzer 2024_1.pdf</t>
  </si>
  <si>
    <t>Zeichennutzer; Verarbeitung</t>
  </si>
  <si>
    <t>Warenflusstrennung, Warenbegleitdokumente, Rückverfolgbarkeit und Eigenkontrolle</t>
  </si>
  <si>
    <t>SRC-025</t>
  </si>
  <si>
    <t>Arbeitsanleitung neutrale Kontrolle Zeichennutzer – Kombicheckliste</t>
  </si>
  <si>
    <t>01-AA ZA ZN Bio Kombicheckliste 2025.pdf</t>
  </si>
  <si>
    <t>Mengenabgleich, Wareneingang, Warenausgang und Kontrollvorgehen</t>
  </si>
  <si>
    <t>SRC-026</t>
  </si>
  <si>
    <t>Neutrale Kontrolle Zeichennutzer – Kombicheckliste Zusatzanforderungen</t>
  </si>
  <si>
    <t>02-CL ZA ZN Bio Kombicheckliste 2025.pdf</t>
  </si>
  <si>
    <t>Existenz und Titel der Kombicheckliste</t>
  </si>
  <si>
    <t>Dokumenttitel als wörtlicher Beleg in Anforderungen_BioZBW.</t>
  </si>
  <si>
    <t>SRC-027</t>
  </si>
  <si>
    <t>Stand 01.01.2023</t>
  </si>
  <si>
    <t>Teilnahmevereinbarung, Mitgliederverzeichnis, interne Kontrolle, Korrekturmaßnahmen, Rückverfolgbarkeit und QMS</t>
  </si>
  <si>
    <t>Bereits als SRC-004 enthalten; hier nochmals den neu ergänzten wörtlichen Belegen zugeordnet.</t>
  </si>
  <si>
    <t>SRC-028</t>
  </si>
  <si>
    <t>Delegierte Verordnung (EU) 2021/715 zu Anforderungen an Unternehmergruppen</t>
  </si>
  <si>
    <t>Ökoverordnung 2021_715.pdf</t>
  </si>
  <si>
    <t>https://eur-lex.europa.eu/legal-content/DE/ALL/?uri=CELEX:32021R0715</t>
  </si>
  <si>
    <t>Unternehmergruppe; QMS-verantwortliche Person; interne QMS-Kontrolleure; Mitglieder</t>
  </si>
  <si>
    <t>Direkte Grundlage für QMS-Verfahren, Schulungen, Inspektionsplanung, Zulassung, Rollen und Dokumentenpflege</t>
  </si>
  <si>
    <t>Ergänzt die bisher im Quellenregister enthaltenen Verordnungen (EU) 2018/848 und 2021/279.</t>
  </si>
  <si>
    <t>SRC-029</t>
  </si>
  <si>
    <t>Version 2025</t>
  </si>
  <si>
    <t>EK CL ZN Wein 2025.pdf</t>
  </si>
  <si>
    <t>Eigenkontrolle, Rückverfolgbarkeit, Warenbegleitdokumente, GVO-Nachweise und Warenflusstrennung</t>
  </si>
  <si>
    <t>Ergänzender wörtlicher Beleg für die QZBW-Warenflusstrennung als Zeichennutzerpflicht.</t>
  </si>
  <si>
    <t>SRC-030</t>
  </si>
  <si>
    <t>Teilnahmevereinbarung Gruppenzertifizierung – pflanzliche Bereiche</t>
  </si>
  <si>
    <t>Stand 2023</t>
  </si>
  <si>
    <t>Teilnahmevereinbarung QZBW Gruppenzertifizierung Pflanze 2023.pdf</t>
  </si>
  <si>
    <t>Erzeuger; Erzeugergruppe; externer Lizenznehmer; Zertifizierungsstelle</t>
  </si>
  <si>
    <t>Direkte vertragliche Einbindung des Gruppenmitglieds, Korrekturmeldungen, Kontrollauftrag und externe Lizenznehmerbeziehung</t>
  </si>
  <si>
    <t>Zentrale Quelle für die in V8 korrigierte Rollen- und Datenflusszuordnung.</t>
  </si>
  <si>
    <t>Untersuchungsgegenstand ist die gesamte Weinwertschöpfungskette. Monetarisiert werden ausschließlich eindeutig zertifizierungsbedingte, überwiegend am Schreibtisch ausgeführte Tätigkeiten der Erfassung, Übertragung, Prüfung, Verarbeitung, Ablage oder Kommunikation von Informationen. Physische Standort- und Vor-Ort-Kontrollen sowie fachrechtliche Baseline-Aufwände werden nicht eingerechnet.</t>
  </si>
  <si>
    <t>Zentrale Rechenannahmen</t>
  </si>
  <si>
    <t>Annahmen-ID</t>
  </si>
  <si>
    <t>Parameter</t>
  </si>
  <si>
    <t>Wert</t>
  </si>
  <si>
    <t>Einheit</t>
  </si>
  <si>
    <t>Betroffenes Programm</t>
  </si>
  <si>
    <t>Betroffener Akteur</t>
  </si>
  <si>
    <t>Begründung</t>
  </si>
  <si>
    <t>Quelle / Herleitung</t>
  </si>
  <si>
    <t>Unsicherheit</t>
  </si>
  <si>
    <t>ANN-001</t>
  </si>
  <si>
    <t>Stundensatz Betriebsleitung/Geschäftsführung</t>
  </si>
  <si>
    <t>EUR/Stunde</t>
  </si>
  <si>
    <t>Traubenerzeuger / Leitung</t>
  </si>
  <si>
    <t>Aus der internen Ausgangsarbeitsmappe übernommen</t>
  </si>
  <si>
    <t>Kostenpositionen_korr</t>
  </si>
  <si>
    <t>Empirischer Status nicht belegt</t>
  </si>
  <si>
    <t>Verwendet</t>
  </si>
  <si>
    <t>ANN-002</t>
  </si>
  <si>
    <t>Stundensatz Verwaltungskraft</t>
  </si>
  <si>
    <t>Genossenschaft / Zeichennutzer / Kontrollstelle</t>
  </si>
  <si>
    <t>ANN-003</t>
  </si>
  <si>
    <t>Stundensatz Facharbeiter*in</t>
  </si>
  <si>
    <t>Mehrere</t>
  </si>
  <si>
    <t>ANN-004</t>
  </si>
  <si>
    <t>Berechnung Gesamtzeit</t>
  </si>
  <si>
    <t>Fallzahl × Minuten je Vorgang ÷ 60</t>
  </si>
  <si>
    <t>Stunden</t>
  </si>
  <si>
    <t>Alle</t>
  </si>
  <si>
    <t>Transparente Formel je Tätigkeit</t>
  </si>
  <si>
    <t>Methodische Festlegung dieser Version</t>
  </si>
  <si>
    <t>Niedrig</t>
  </si>
  <si>
    <t>ANN-005</t>
  </si>
  <si>
    <t>Systemgrenze</t>
  </si>
  <si>
    <t>Gesamte Weinwertschöpfungskette</t>
  </si>
  <si>
    <t>Scope</t>
  </si>
  <si>
    <t>Traubenerzeuger bis Kontrollstelle</t>
  </si>
  <si>
    <t>Betrachtet werden Traubenerzeuger, Erzeugergemeinschaft, Zeichennutzer, Weinbereitung/Verarbeitung und Kontrollstelle</t>
  </si>
  <si>
    <t>Abstimmung 2026-07-23</t>
  </si>
  <si>
    <t>ANN-006</t>
  </si>
  <si>
    <t>Administrative Tätigkeit</t>
  </si>
  <si>
    <t>Erfassen, übertragen, prüfen, verarbeiten, ablegen oder kommunizieren von Informationen</t>
  </si>
  <si>
    <t>Definition</t>
  </si>
  <si>
    <t>Fokus auf Schreibtischtätigkeiten, die durch Digitalisierung oder kooperative Datennutzung erleichtert werden können</t>
  </si>
  <si>
    <t>ANN-007</t>
  </si>
  <si>
    <t>QZBW-Baseline</t>
  </si>
  <si>
    <t>Rechtskonforme Weinwertschöpfungskette ohne QZBW</t>
  </si>
  <si>
    <t>Baseline</t>
  </si>
  <si>
    <t>Nur zusätzlicher QZBW-Aufwand zählt</t>
  </si>
  <si>
    <t>Aufgabenstellung und Abstimmung</t>
  </si>
  <si>
    <t>ANN-008</t>
  </si>
  <si>
    <t>BioZBW-Baseline</t>
  </si>
  <si>
    <t>Rechtskonforme, bereits EU-ökologisch zertifizierte Weinwertschöpfungskette</t>
  </si>
  <si>
    <t>Normale EU-Öko-Zertifizierung wird nicht erneut als BioZBW-Zusatzaufwand berechnet</t>
  </si>
  <si>
    <t>ANN-009</t>
  </si>
  <si>
    <t>Prüfung vorhandener Betriebsaufzeichnungen</t>
  </si>
  <si>
    <t>Nur zusätzliche Prüfung einbezogen</t>
  </si>
  <si>
    <t>Abgrenzung</t>
  </si>
  <si>
    <t>Gruppeninterne Prüfungen</t>
  </si>
  <si>
    <t>Erstellung der zugrunde liegenden Dünge-, Pflanzenschutz-, Ernte- oder Verkaufsaufzeichnungen bleibt Baseline</t>
  </si>
  <si>
    <t>ANN-010</t>
  </si>
  <si>
    <t>Physische Standort- und Vor-Ort-Kontrollen</t>
  </si>
  <si>
    <t>Aus enger Rechnung ausgeschlossen</t>
  </si>
  <si>
    <t>Zeichennutzer / Kontrollstelle</t>
  </si>
  <si>
    <t>Keine reine Schreibtischtätigkeit; administrative Nachweisprüfung ist bereits separat erfasst</t>
  </si>
  <si>
    <t>ANN-011</t>
  </si>
  <si>
    <t>HACCP</t>
  </si>
  <si>
    <t>Anforderung ja, separater Zusatzkostenblock nein</t>
  </si>
  <si>
    <t>Weinbereitung/Verarbeitung</t>
  </si>
  <si>
    <t>HACCP ist bereits nach allgemeinem Lebensmittelhygienerecht erforderlich; QZBW/BioZBW kontrollieren den vorhandenen Nachweis</t>
  </si>
  <si>
    <t>Art. 5 VO (EG) 852/2004; https://eur-lex.europa.eu/legal-content/DE/ALL/?uri=CELEX%3A02004R0852-20210324</t>
  </si>
  <si>
    <t>ANN-012</t>
  </si>
  <si>
    <t>BioZBW-Gruppenzertifizierung</t>
  </si>
  <si>
    <t>Direkte EU-Grundlage und programmspezifische Extrapolation getrennt kennzeichnen</t>
  </si>
  <si>
    <t>Quellenlogik</t>
  </si>
  <si>
    <t>Unternehmergruppe / QMS</t>
  </si>
  <si>
    <t>Mitgliedsvereinbarung, Mitgliederliste, interne Kontrollen, Maßnahmen und Rückverfolgbarkeit sind weitgehend direkt belegt; Formate und Zeichennutzungsunterlagen teilweise extrapoliert</t>
  </si>
  <si>
    <t>Art. 36 VO 2018/848; Art. 5 bis 7 VO 2021/279</t>
  </si>
  <si>
    <t>Mittel</t>
  </si>
  <si>
    <t>ANN-013</t>
  </si>
  <si>
    <t>Betriebliche Eigenprüfung</t>
  </si>
  <si>
    <t>pro Jahr</t>
  </si>
  <si>
    <t>Zeichennutzer / Betrieb</t>
  </si>
  <si>
    <t>Gemäß Aufgabenstellung jährlich</t>
  </si>
  <si>
    <t>Aufgabenstellung 2026-07-23</t>
  </si>
  <si>
    <t>Zeitansatz bleibt Modellwert</t>
  </si>
  <si>
    <t>ANN-014</t>
  </si>
  <si>
    <t>Kontrollstellenaufwand versus Kontrollgebühren</t>
  </si>
  <si>
    <t>Getrennte Kostenperspektiven</t>
  </si>
  <si>
    <t>Modelliert wird Arbeitszeit der Kontrollstelle; keine belegten Gebühren, Rechnungen oder Förderzahlungen</t>
  </si>
  <si>
    <t>Interne Ausgangsarbeitsmappe</t>
  </si>
  <si>
    <t>Gebührenhöhe nicht belegt</t>
  </si>
  <si>
    <t>ANN-015</t>
  </si>
  <si>
    <t>Fallzahlen</t>
  </si>
  <si>
    <t>Werte je Kostenposition aus Ausgangsmodell</t>
  </si>
  <si>
    <t>Vorgänge/Bezugsgröße</t>
  </si>
  <si>
    <t>Unverändert übernommen; keine neuen empirischen Werte</t>
  </si>
  <si>
    <t>Kostenpositionen_korr, Spalte M</t>
  </si>
  <si>
    <t>Bezugszeitraum teilweise unklar</t>
  </si>
  <si>
    <t>ANN-016</t>
  </si>
  <si>
    <t>Zeitansätze</t>
  </si>
  <si>
    <t>Modellwerte aus Ausgangsmodell</t>
  </si>
  <si>
    <t>Minuten je Vorgang</t>
  </si>
  <si>
    <t>Abweichende Kommentarschätzungen bleiben als Unsicherheitsbereiche sichtbar; kein neuer Mittelwert</t>
  </si>
  <si>
    <t>Kostenpositionen_korr, Spalte N und Kommentare</t>
  </si>
  <si>
    <t>ANN-017</t>
  </si>
  <si>
    <t>Numerische Neuschätzungen</t>
  </si>
  <si>
    <t>Ja – ausschließlich transparent gekennzeichnete analoge Modellannahmen für neu identifizierte administrative Tätigkeiten</t>
  </si>
  <si>
    <t>Qualitätssicherung</t>
  </si>
  <si>
    <t>Nach der Harmonisierung mit der Datenflussanalyse werden normative, bislang unbepreiste Tätigkeiten mit zentralen Modellwerten ergänzt. Sie sind nicht empirisch erhoben und müssen validiert werden.</t>
  </si>
  <si>
    <t>Harmonisierung AP Kostenanalyse/Datenflussanalyse 2026-08-02</t>
  </si>
  <si>
    <t>Hoch</t>
  </si>
  <si>
    <t>ANN-018</t>
  </si>
  <si>
    <t>Spätere Publikationsfassung</t>
  </si>
  <si>
    <t>Interne Entwicklungsbezeichnungen entfernen</t>
  </si>
  <si>
    <t>Redaktioneller Folgeschritt</t>
  </si>
  <si>
    <t>Interner Prüfpfad bleibt archiviert; Ergebnistabellen des Abschlussberichts werden neutral formuliert und Änderungen zum Zwischenbericht methodisch erläutert</t>
  </si>
  <si>
    <t>Nicht Bestandteil dieser Arbeitsversion</t>
  </si>
  <si>
    <t>Vorgemerkt</t>
  </si>
  <si>
    <t>ANN-019</t>
  </si>
  <si>
    <t>Formulierungslogik der Anforderungsblätter</t>
  </si>
  <si>
    <t>Soll-Zustand – Objekt plus Verb – Quellenbeleg in derselben Zeile</t>
  </si>
  <si>
    <t>Darstellungsregel</t>
  </si>
  <si>
    <t>Fachliche Anforderung, auszuführende administrative Tätigkeit und Quellenbeleg werden ohne Doppelung getrennt dargestellt</t>
  </si>
  <si>
    <t>Abstimmung 2026-07-24</t>
  </si>
  <si>
    <t>ANN-020</t>
  </si>
  <si>
    <t>Programmspezifische Quellenlogik</t>
  </si>
  <si>
    <t>Normative Quelle strikt von Zahlenherkunft trennen</t>
  </si>
  <si>
    <t>QZBW-Blatt nennt keine BioZBW-Unterlage als Anforderungsquelle und umgekehrt; Übertragungen erscheinen nur unter Zahlenherkunft/Übertragungsstatus</t>
  </si>
  <si>
    <t>ANN-021</t>
  </si>
  <si>
    <t>Weinanalytik und Sensorik</t>
  </si>
  <si>
    <t>Fachrechtlicher Untersuchungsbefund statt einzelner QZBW-Zusatzkosten</t>
  </si>
  <si>
    <t>Alkohol, vergärbarer Zucker, Gesamtsäure und Sensorik sind Bestandteile der amtlichen Qualitätsweinprüfung; nur der QZBW-Qualitätsnachweis wird separat ausgewiesen</t>
  </si>
  <si>
    <t>Weinverordnung §§ 22 und 23 sowie Anlage 10; https://www.gesetze-im-internet.de/weinv_1995/anlage_10.html</t>
  </si>
  <si>
    <t>ANN-022</t>
  </si>
  <si>
    <t>Nmin</t>
  </si>
  <si>
    <t>Keine eigenständige QZBW-Analyseposition</t>
  </si>
  <si>
    <t>Erforderlich ist die Ermittlung und Dokumentation des verfügbaren Stickstoffs/Düngebedarfs; eine eigene Nmin-Laboranalyse ist nur eine mögliche Methode</t>
  </si>
  <si>
    <t>§ 4 Abs. 4 Düngeverordnung; https://www.gesetze-im-internet.de/d_v_2017/__4.html</t>
  </si>
  <si>
    <t>ANN-023</t>
  </si>
  <si>
    <t>SankeyMATIC-Szenarien</t>
  </si>
  <si>
    <t>Nur QZBW und BioZBW – jeweils zertifizierungsspezifisch</t>
  </si>
  <si>
    <t>Beide Codes beginnen mit einem Gesamtflow und verzweigen anschließend nach Akteur, Prozesskategorie und Tätigkeit</t>
  </si>
  <si>
    <t>ANN-024</t>
  </si>
  <si>
    <t>Rollen- und Systembegriffsabgrenzung</t>
  </si>
  <si>
    <t>Erzeugergruppe/Unternehmergruppe bleibt Zeichennutzer beziehungsweise Zertifikatsinhaber und wird nicht zum Lizenznehmer; QZBW verwendet QMS, EU-Bio verwendet QMS. Die monetarisierten Teilprozesse werden überschneidungsfrei ausgewiesen.</t>
  </si>
  <si>
    <t>Erzeugergemeinschaft / Zeichennutzer / Lizenznehmer</t>
  </si>
  <si>
    <t>Die Gruppe übernimmt gegenüber ihren Mitgliedern interne Bündelungs-, Kontroll- und Dokumentationsfunktionen, bleibt aber selbst durch Zeichennutzungsvertrag an einen separaten Lizenznehmer angebunden.</t>
  </si>
  <si>
    <t>QZBW-Programmbestimmungen 2025, Abschnitte 3.2 bis 3.5, 6.3 und 10.2; Anforderungen an Erzeugergruppen 2023, Abschnitte 1.2 bis 7; VO (EU) 2018/848 Art. 36; VO (EU) 2021/715; VO (EU) 2021/279 Art. 5 bis 7</t>
  </si>
  <si>
    <t>Ausschlussregister – interne Arbeitsfassung</t>
  </si>
  <si>
    <t>Der Ausschluss bedeutet nicht, dass die Anforderungen unwichtig sind. Er zeigt, dass sie außerhalb der engen Kostenrechnung digital unterstützbarer administrativer Tätigkeiten liegen, bereits zur fachrechtlichen Baseline gehören oder nicht belastbar quantifiziert werden konnten.</t>
  </si>
  <si>
    <t>Ausschluss-ID</t>
  </si>
  <si>
    <t>Ursprungszeile</t>
  </si>
  <si>
    <t>Ursprüngliche Position</t>
  </si>
  <si>
    <t>Ursprünglicher Betrag</t>
  </si>
  <si>
    <t>Ursprüngliche Quelle / Regelgrundlage</t>
  </si>
  <si>
    <t>Plausible ursprüngliche Aufnahmelogik</t>
  </si>
  <si>
    <t>Aktueller Prüfungsbefund / Ausschlussgrund</t>
  </si>
  <si>
    <t>Aktuelle Behandlung</t>
  </si>
  <si>
    <t>EX-001</t>
  </si>
  <si>
    <t>Kostenpositionen_korr!36:36</t>
  </si>
  <si>
    <t>Weinkellerei prüfen</t>
  </si>
  <si>
    <t>30.00 EUR</t>
  </si>
  <si>
    <t>QZBW-Programmbestimmungen 2026; BioZBW-Programmbestimmungen 2026; Ursprungsmodell</t>
  </si>
  <si>
    <t>Plausible Rekonstruktion: Die Anforderungen an Erzeugergruppen verlangen interne Audits aller zentralen Standorte, an denen Gruppenerzeugnisse aufbereitet, gelagert oder abgepackt werden.</t>
  </si>
  <si>
    <t>Ausgeschlossen: physische Standort- beziehungsweise Prozessprüfung; keine reine administrative Schreibtischtätigkeit.</t>
  </si>
  <si>
    <t>Anforderung bleibt im Anforderungsblatt sichtbar; Betrag fließt nicht in Kostenrechnung oder aktuellen Sankey-Code ein.</t>
  </si>
  <si>
    <t>EX-002</t>
  </si>
  <si>
    <t>Kostenpositionen_korr!37:37</t>
  </si>
  <si>
    <t>Abfüllbereich prüfen</t>
  </si>
  <si>
    <t>EX-003</t>
  </si>
  <si>
    <t>Kostenpositionen_korr!38:38</t>
  </si>
  <si>
    <t>Etikettierung prüfen</t>
  </si>
  <si>
    <t>15.00 EUR</t>
  </si>
  <si>
    <t>EX-004</t>
  </si>
  <si>
    <t>Kostenpositionen_korr!39:39</t>
  </si>
  <si>
    <t>Rohstofflager prüfen</t>
  </si>
  <si>
    <t>60.00 EUR</t>
  </si>
  <si>
    <t>EX-005</t>
  </si>
  <si>
    <t>Kostenpositionen_korr!40:40</t>
  </si>
  <si>
    <t>Maschinen prüfen</t>
  </si>
  <si>
    <t>EX-006</t>
  </si>
  <si>
    <t>Kostenpositionen_korr!41:41</t>
  </si>
  <si>
    <t>Flaschenlager prüfen</t>
  </si>
  <si>
    <t>EX-007</t>
  </si>
  <si>
    <t>EX-008</t>
  </si>
  <si>
    <t>EX-009</t>
  </si>
  <si>
    <t>EX-010</t>
  </si>
  <si>
    <t>EX-011</t>
  </si>
  <si>
    <t>EX-012</t>
  </si>
  <si>
    <t>EX-013</t>
  </si>
  <si>
    <t>Kostenpositionen_korr!52:52</t>
  </si>
  <si>
    <t>Checkliste zur neutralen Kontrolle (Landwirtschaftliche Betriebe)</t>
  </si>
  <si>
    <t>Plausible Rekonstruktion: Die neutrale Zertifizierungskontrolle muss die Einhaltung der QZBW-Anforderungen bei Betrieb beziehungsweise Zeichennutzer prüfen und dokumentieren.</t>
  </si>
  <si>
    <t>Ausgeschlossen: Zeitansatz bildet die Durchführung der Vor-Ort-Kontrolle ab; dokumentenbasierte Verifizierung wird separat berücksichtigt.</t>
  </si>
  <si>
    <t>Anforderung bleibt sichtbar; keine Monetarisierung in der engen administrativen Rechnung.</t>
  </si>
  <si>
    <t>EX-014</t>
  </si>
  <si>
    <t>Kostenpositionen_korr!53:53</t>
  </si>
  <si>
    <t>Checkliste zur neutralen Kontrolle - Zusatzcheckliste „Ohne Gentechnik“ (Landwirtschaftliche Betriebe)</t>
  </si>
  <si>
    <t>QZBW-Programmbestimmungen 2026; ZA Wein 2026; ggf. Anforderungen Erzeugergruppen 2023</t>
  </si>
  <si>
    <t>EX-015</t>
  </si>
  <si>
    <t>Kostenpositionen_korr!54:54</t>
  </si>
  <si>
    <t>Checkliste zur neutralen Kontrolle (Zeichennutzer) während der Inspektion</t>
  </si>
  <si>
    <t>90.00 EUR</t>
  </si>
  <si>
    <t>EX-016</t>
  </si>
  <si>
    <t>Kostenpositionen_korr!55:55</t>
  </si>
  <si>
    <t>Checkliste zur neutralen Kontrolle Zeichennutzer - „Ohne Gentechnik“ -   (Zeichennutzer)</t>
  </si>
  <si>
    <t>45.00 EUR</t>
  </si>
  <si>
    <t>EX-017</t>
  </si>
  <si>
    <t>Plausible Rekonstruktion: Die Kontrollstelle muss das interne Gruppensystem verifizieren und Mitglieder stichprobenartig erneut kontrollieren.</t>
  </si>
  <si>
    <t>Ausgeschlossen: Vor-Ort-Kontrolle; keine reine Schreibtischtätigkeit.</t>
  </si>
  <si>
    <t>Dokumentenbasierte Systemverifizierung und Kontrollstellenmeldung bleiben enthalten.</t>
  </si>
  <si>
    <t>EX-018</t>
  </si>
  <si>
    <t>Kostenpositionen_korr!56:56</t>
  </si>
  <si>
    <t>Kombicheckliste zur neutralen Kontrolle</t>
  </si>
  <si>
    <t>120.00 EUR</t>
  </si>
  <si>
    <t>BioZBW-Programmbestimmungen 2026; ZA BioZBW Pflanzlich 2026</t>
  </si>
  <si>
    <t>EX-019</t>
  </si>
  <si>
    <t>Kostenpositionen_korr!10:10</t>
  </si>
  <si>
    <t>Dokumentation eines HACCP-Konzepts (auf Betriebsebene)</t>
  </si>
  <si>
    <t>50.00 EUR</t>
  </si>
  <si>
    <t>Plausible Rekonstruktion: Die jeweilige Zusatzanforderung nennt ausdrücklich ein dokumentiertes HACCP-Konzept als Voraussetzung für Weinbereitung beziehungsweise Verarbeitung.</t>
  </si>
  <si>
    <t>Nicht als Zusatzkostenblock monetarisiert: HACCP ist für die Verarbeitung bereits nach allgemeinem Lebensmittelhygienerecht erforderlich.</t>
  </si>
  <si>
    <t>Beim Akteur Weinbereitung/Verarbeitung als relevante Baseline-Anforderung dokumentiert.</t>
  </si>
  <si>
    <t>EX-020</t>
  </si>
  <si>
    <t>Kostenpositionen_korr!43:43</t>
  </si>
  <si>
    <t>Dokumentation eines HACCP-Konzepts (in zentralen Einrichtungen)</t>
  </si>
  <si>
    <t>25.00 EUR</t>
  </si>
  <si>
    <t>EX-021</t>
  </si>
  <si>
    <t>EX-022</t>
  </si>
  <si>
    <t>Kostenpositionen_korr!12:12</t>
  </si>
  <si>
    <t>Analyseergebnis Zucker archivieren beziehungsweise bereithalten</t>
  </si>
  <si>
    <t>500.00 EUR – gemeinsame Mischposition für fünf Bestandteile</t>
  </si>
  <si>
    <t>Weinverordnung; QZBW – Zusatzanforderungen Wein 2025; Ausgangsmodell</t>
  </si>
  <si>
    <t>Plausible Rekonstruktion: Qualitätsnachweise sollten administrativ archiviert beziehungsweise bereitgehalten werden; mehrere Analysearten wurden zu einer Sammelposition verbunden.</t>
  </si>
  <si>
    <t>Als separate QZBW-Analyse ausgeschlossen: Der Parameter ist Bestandteil des fachrechtlichen Untersuchungsbefunds der amtlichen Qualitätsweinprüfung; kein zusätzlicher QZBW-Einzelaufwand belegt.</t>
  </si>
  <si>
    <t>Mit Zucker, Säure, Alkohol und Sensorik zu einer fachrechtlichen Baseline-Zeile „Untersuchungsbefund der amtlichen Qualitätsweinprüfung“ gebündelt; QZBW-Qualitätsnachweis bleibt separat und nicht monetarisiert.</t>
  </si>
  <si>
    <t>EX-023</t>
  </si>
  <si>
    <t>Analyseergebnis Säure archivieren beziehungsweise bereithalten</t>
  </si>
  <si>
    <t>EX-024</t>
  </si>
  <si>
    <t>Analyseergebnis Alkohol archivieren beziehungsweise bereithalten</t>
  </si>
  <si>
    <t>EX-025</t>
  </si>
  <si>
    <t>Analyseergebnis Sensorik archivieren beziehungsweise bereithalten</t>
  </si>
  <si>
    <t>EX-026</t>
  </si>
  <si>
    <t>Analyseergebnis Nmin archivieren beziehungsweise bereithalten</t>
  </si>
  <si>
    <t>Düngeverordnung; Ausgangsmodell</t>
  </si>
  <si>
    <t>Als separate QZBW-Analyse ausgeschlossen: Fachrechtlich ist die Ermittlung des verfügbaren Stickstoffs erforderlich, nicht generell eine eigene Nmin-Laboranalyse; zudem ist Labor-/Probenarbeit keine reine Schreibtischtätigkeit.</t>
  </si>
  <si>
    <t>In die fachrechtliche Baseline „Stickstoffdüngebedarf ermitteln sowie Düngemittelaufzeichnungen führen und ablegen“ integriert; kein separater Betrag.</t>
  </si>
  <si>
    <t>EX-027</t>
  </si>
  <si>
    <t>Kostenpositionen_korr!13:13</t>
  </si>
  <si>
    <t>Nachweise zur GVO-Freiheit</t>
  </si>
  <si>
    <t>Plausible Rekonstruktion: Neben der formalen GVO-Freiheitsbescheinigung sollten auch ergänzende Spezifikationen oder Nachweise vollständig abgelegt werden.</t>
  </si>
  <si>
    <t>Als Doppelzählung ausgeschlossen: Bescheinigung und zugehörige Nachweise bilden ein gemeinsames Nachweispaket; kein zweiter separater Arbeitsvorgang belegt.</t>
  </si>
  <si>
    <t>In die Position „GVO-Freiheitsbescheinigung ausfüllen beziehungsweise einholen und zusammen mit den zugehörigen Nachweisen ablegen“ integriert; nur einmal 60 Minuten beziehungsweise 50 EUR angesetzt.</t>
  </si>
  <si>
    <t>EX-028</t>
  </si>
  <si>
    <t>Kostenpositionen_korr!45:45</t>
  </si>
  <si>
    <t>Rückstandsuntersuchungen organisieren und Ergebnisse dokumentieren</t>
  </si>
  <si>
    <t>240.00 EUR</t>
  </si>
  <si>
    <t>QZBW-Programmbestimmungen 2025, Abschnitte 6.6 und 6.9</t>
  </si>
  <si>
    <t>Plausible Rekonstruktion: Die allgemeine Lizenznehmerverantwortung für Prüfpläne wurde als gruppenbezogener Wein-Aufwand interpretiert.</t>
  </si>
  <si>
    <t>Ausgeschlossen: Die produktspezifische Kontrollfrequenztabelle weist für Wein, Sekt und Perlwein keine Rückstandsuntersuchung aus; zudem wäre primär der Lizenznehmer verantwortlich und eine direkte Beauftragung des Zeichennutzers nur in Absprache möglich.</t>
  </si>
  <si>
    <t>Im Vollblatt als ausgeschlossene frühere Modellposition sichtbar; kein Betrag in Kostenrechnung, reduziertem Sankey-Datensatz oder Sankey-Code.</t>
  </si>
  <si>
    <t>ANN-025</t>
  </si>
  <si>
    <t>Warenflusstrennung QZBW/BioZBW</t>
  </si>
  <si>
    <t>Vorgang/Jahr</t>
  </si>
  <si>
    <t>Genossenschaft als Zeichennutzer</t>
  </si>
  <si>
    <t>Beide Programme verlangen eine nachvollziehbare Trennung von Programmware und Nichtprogrammware. Für die fortlaufende Pflicht wird ein jährlicher Modellvorgang angesetzt.</t>
  </si>
  <si>
    <t>QZBW ZA Wein 2025, S. 7, Abschnitt III.6; BioZBW ZA pflanzliche Produkte 2024, S. 9, Abschnitt III.6</t>
  </si>
  <si>
    <t>Mittlere Unsicherheit: Zeitansatz analog aus dem bestehenden BioZBW-Modell, nicht empirisch erhoben</t>
  </si>
  <si>
    <t>ANN-026</t>
  </si>
  <si>
    <t>Bereitstellung vorhandener Betriebsnachweise für das QMS</t>
  </si>
  <si>
    <t>Minuten je Mitglied/Jahr</t>
  </si>
  <si>
    <t>Zusammenstellen, Vollständigkeit prüfen und an die Gruppe übermitteln; Erstellung der Basisnachweise ausgeschlossen</t>
  </si>
  <si>
    <t>Analogie zu Formular-/Nachweisübermittlung in V7</t>
  </si>
  <si>
    <t>Hoch – nicht empirisch erhoben</t>
  </si>
  <si>
    <t>ANN-027</t>
  </si>
  <si>
    <t>Meldung der Umsetzung von Korrekturmaßnahmen</t>
  </si>
  <si>
    <t>Minuten je Ereignis</t>
  </si>
  <si>
    <t>Nur Dokumentation und Rückmeldung, keine physische Umsetzung</t>
  </si>
  <si>
    <t>Analogie zu kurzen Formular-/Kommunikationsvorgängen in V7</t>
  </si>
  <si>
    <t>Hoch – Fallhäufigkeit und Zeit nicht empirisch erhoben</t>
  </si>
  <si>
    <t>ANN-028</t>
  </si>
  <si>
    <t>QMS-Steuerungsaufgaben</t>
  </si>
  <si>
    <t>bis 60 Minuten je Vorgang</t>
  </si>
  <si>
    <t>Erzeugergruppe</t>
  </si>
  <si>
    <t>Je nach Tätigkeit: Statuspflege 15 Min.; Zulassung/Qualifikation/Planung 30 Min.; Schulungsdokumentation oder Rückverfolgbarkeitstest 60 Min.</t>
  </si>
  <si>
    <t>Analogie zu vorhandenen Verwaltungs- und Prüftätigkeiten in V7</t>
  </si>
  <si>
    <t>ANN-029</t>
  </si>
  <si>
    <t>Externe Kontrollvorbereitung und Zertifikatsadministration</t>
  </si>
  <si>
    <t>Kontrollstelle</t>
  </si>
  <si>
    <t>Termin-/Unterlagenkoordination und Zertifikatsentscheidung getrennt von Vor-Ort-Kontrolle und Kontrollstellenmeldung</t>
  </si>
  <si>
    <t>Analogie zu vorhandenen Kontrollstellen-Verwaltungstätigkeiten in V7</t>
  </si>
  <si>
    <t>Hoch – Abgrenzung empirisch zu prüfen</t>
  </si>
  <si>
    <t>ANN-030</t>
  </si>
  <si>
    <t>QMS-Kontrollpaket der Erzeugergruppe</t>
  </si>
  <si>
    <t>Minuten je Jahr</t>
  </si>
  <si>
    <t>Zusammenstellen und Übermitteln vorhandener QMS-Unterlagen; laufende Dokumentenpflege separat</t>
  </si>
  <si>
    <t>Analogie zu Dokumentenbündelung und Übermittlung in V7</t>
  </si>
  <si>
    <t>ANN-031</t>
  </si>
  <si>
    <t>Minuten je Gruppenaufnahme</t>
  </si>
  <si>
    <t>Prüfung/Gegenzeichnung des Zeichennutzungsvertrags und Weiterleitung der Programmanmeldung</t>
  </si>
  <si>
    <t>Rollenprüfung; Analogie zu Vertrags- und Meldevorgängen</t>
  </si>
  <si>
    <t>Hoch – Tätigkeitsumfang und Stundensatz empirisch zu prüfen</t>
  </si>
  <si>
    <t>ANN-032</t>
  </si>
  <si>
    <t>BioZBW-Eigenkontrolle Erzeuger</t>
  </si>
  <si>
    <t>Keine separate Position</t>
  </si>
  <si>
    <t>Keine programmspezifische Erzeuger-Eigenkontrollcheckliste gefunden; EU-Recht verlangt interne Kontrolle durch das QMS der Gruppe</t>
  </si>
  <si>
    <t>BioZBW ZA Pflanzliche Produkte 2025; BioZBW Eigenkontrolle Zeichennutzer 2024; VO (EU) 2018/848 und 2021/279</t>
  </si>
  <si>
    <t>ANN-033</t>
  </si>
  <si>
    <t>BioZBW-Warenflusstrennung beim Erzeuger</t>
  </si>
  <si>
    <t>Baseline/Rollenabgrenzung</t>
  </si>
  <si>
    <t>EU-Öko-Baseline und bisherige Quelle richtet sich an Zeichennutzer; BioZBW-Zeichennutzerpflicht bleibt enthalten</t>
  </si>
  <si>
    <t>BioZBW ZA Pflanzliche Produkte 2025, Abschnitt III.6; BioZBW Eigenkontrolle Zeichennutzer 2024</t>
  </si>
  <si>
    <t>ANN-034</t>
  </si>
  <si>
    <t>Unterschiedliche Zielsysteme der APs</t>
  </si>
  <si>
    <t>Datenflussanalyse bildet alle relevanten Nachweise und Datenflüsse ab; Kostenanalyse nur zusätzlichen Zertifizierungsaufwand</t>
  </si>
  <si>
    <t>Methodische Abgrenzung</t>
  </si>
  <si>
    <t>Doppelte Darstellung eines Nachweises in Fachrechts- und QMS-Prozess ist in der Datenflussanalyse zulässig; in der Kostenrechnung keine doppelte Monetarisierung</t>
  </si>
  <si>
    <t>Harmonisierung 2026-08-02</t>
  </si>
  <si>
    <t>ANN-035</t>
  </si>
  <si>
    <t>BioZBW-Produktaufstellung</t>
  </si>
  <si>
    <t>Zeichennutzer</t>
  </si>
  <si>
    <t>Aktualisieren, plausibilisieren und für Kontrollen bereitstellen</t>
  </si>
  <si>
    <t>Analogie zu Listenpflege und kurzer Nachweisadministration</t>
  </si>
  <si>
    <t>ANN-036</t>
  </si>
  <si>
    <t>BioZBW-Qualitätsprüfungsnachweis</t>
  </si>
  <si>
    <t>Minuten je Prüfzyklus; im Modell jährlich</t>
  </si>
  <si>
    <t>Nur Anmeldung, Zuordnung und Bereithaltung des Nachweises; Prüfung, Probe und Labor ausgeschlossen</t>
  </si>
  <si>
    <t>Analogie zur QZBW-Qualitätsnachweisposition</t>
  </si>
  <si>
    <t>Hoch – Prüforganisation und tatsächliche Frequenz empirisch zu prüfen</t>
  </si>
  <si>
    <t>ANN-037</t>
  </si>
  <si>
    <t>Jahresmeldung des BioZBW-Lizenznehmers</t>
  </si>
  <si>
    <t>Zusammenstellung, Prüfung, Trennung nach Produktbereichen und Übermittlung an MBW</t>
  </si>
  <si>
    <t>Analogie zu Vertrags- und Meldeadministration</t>
  </si>
  <si>
    <t>ANN-038</t>
  </si>
  <si>
    <t>Lohnverarbeitung</t>
  </si>
  <si>
    <t>Nicht im Basisszenario</t>
  </si>
  <si>
    <t>Bedingte Anforderung</t>
  </si>
  <si>
    <t>Vereinbarung und Kontrollstelleninformation nur bei ausgelagerten Verarbeitungsschritten</t>
  </si>
  <si>
    <t>BioZBW-Programmbestimmungen 2026, S. 23–24, Abschnitt 9.3</t>
  </si>
  <si>
    <t>Niedrig hinsichtlich Norm; Auslöser fallspezifisch</t>
  </si>
  <si>
    <t>Nicht monetarisiert</t>
  </si>
  <si>
    <t>ANN-039</t>
  </si>
  <si>
    <t>BioZBW-Informationspflichten auf Anfrage/bei Änderung</t>
  </si>
  <si>
    <t>Nicht im Standardjahr</t>
  </si>
  <si>
    <t>Ereignisabhängige Anforderung</t>
  </si>
  <si>
    <t>Erzeuger/Zeichennutzer</t>
  </si>
  <si>
    <t>Produktionsauskunft und Stammdatenänderung nur bei Anfrage oder tatsächlicher Änderung</t>
  </si>
  <si>
    <t>BioZBW-Programmbestimmungen 2026, S. 27, Abschnitt 11.3</t>
  </si>
  <si>
    <t>Niedrig hinsichtlich Norm; Häufigkeit offen</t>
  </si>
  <si>
    <t>Dieses Blatt dokumentiert die interne Qualitätssicherung. Vor einer späteren Publikationsfassung werden interne Entwicklungsbezeichnungen entfernt und Änderungen gegenüber dem Zwischenbericht neutral erläutert.</t>
  </si>
  <si>
    <t>Datum</t>
  </si>
  <si>
    <t>Änderung / Prüfung</t>
  </si>
  <si>
    <t>Ausgangsproblem</t>
  </si>
  <si>
    <t>Vorgenommene Lösung</t>
  </si>
  <si>
    <t>Betroffene Blätter / Positionen</t>
  </si>
  <si>
    <t>Noch offene Frage</t>
  </si>
  <si>
    <t>Beleg-IDs</t>
  </si>
  <si>
    <t>Vier getrennte Szenarien eingeführt</t>
  </si>
  <si>
    <t>Die alte Summe vermischte QZBW- und BioZBW-spezifische Positionen.</t>
  </si>
  <si>
    <t>Vier eigenständige, reproduzierbare Summen und Sankey-Quellen.</t>
  </si>
  <si>
    <t>Altdatei; fachlich relevante Zielblätter</t>
  </si>
  <si>
    <t>Düngemittel 1.200 EUR / Pflanzenschutz 600 EUR bestätigt</t>
  </si>
  <si>
    <t>Die Excel-Werte waren richtig; in der alten Sankey-Grafik waren die Bezeichnungen vertauscht.</t>
  </si>
  <si>
    <t>Neue Diagramme verwenden die korrekte Zuordnung.</t>
  </si>
  <si>
    <t>Fachrechtliche Basisdokumentation vom Zertifizierungszusatz getrennt</t>
  </si>
  <si>
    <t>Düngung, Pflanzenschutz sowie weitere Basisaufzeichnungen fallen nicht ausschließlich durch die Zertifizierung an.</t>
  </si>
  <si>
    <t>Nur im breiten Szenario vollständig enthalten.</t>
  </si>
  <si>
    <t>HACCP beim Traubenerzeuger ausgeschlossen</t>
  </si>
  <si>
    <t>Falsche Akteursebene und mögliche Doppelzählung.</t>
  </si>
  <si>
    <t>50 EUR bis zur Neuabgrenzung nicht summiert.</t>
  </si>
  <si>
    <t>Gemischte Analyseposition ausgeschlossen</t>
  </si>
  <si>
    <t>Zucker/Säure/Alkohol/Sensorik/Nmin lassen sich nicht als eine Position einem Akteur und Programm zuordnen.</t>
  </si>
  <si>
    <t>500 EUR bis zur Aufteilung nicht summiert.</t>
  </si>
  <si>
    <t>Kontrollstellenaufwand sprachlich von Kontrollgebühren getrennt</t>
  </si>
  <si>
    <t>465 EUR waren modellierte Arbeitszeit, keine belegte Rechnung oder Gebühr.</t>
  </si>
  <si>
    <t>Bericht muss dies explizit ausweisen; Gebühren separat behandeln.</t>
  </si>
  <si>
    <t>Kontrollstichproben berichtigt</t>
  </si>
  <si>
    <t>10 % gilt im BioZBW-Zusatzkontrollkontext; QZBW-Gruppenprüfung folgt Wurzelstichprobe.</t>
  </si>
  <si>
    <t>Methodik- und Ergebnistext werden korrigiert.</t>
  </si>
  <si>
    <t>Förderlogik berichtigt</t>
  </si>
  <si>
    <t>Förderung reduziert erstattungsfähige Ausgaben, ist selbst aber keine Kostenposition.</t>
  </si>
  <si>
    <t>Keine pauschale Aussage „sieben Jahre keine Kontrollkosten“ mehr.</t>
  </si>
  <si>
    <t>Blatt Quellen_Annahmen getrennt</t>
  </si>
  <si>
    <t>Quellen, Rechenannahmen und Prüfentscheidungen erfüllen unterschiedliche Funktionen.</t>
  </si>
  <si>
    <t>Drei eigenständige Blätter Quellen, Annahmen und Prüfprotokoll erstellt.</t>
  </si>
  <si>
    <t>Quellen; Annahmen; Prüfprotokoll</t>
  </si>
  <si>
    <t>Keine.</t>
  </si>
  <si>
    <t>Systemgrenze auf gesamte Weinwertschöpfungskette präzisiert</t>
  </si>
  <si>
    <t>Die Rolle der Weinbereitung/Verarbeitung musste ausdrücklich sichtbar werden.</t>
  </si>
  <si>
    <t>Traubenerzeuger, Erzeugergemeinschaft, Zeichennutzer, Weinbereitung/Verarbeitung und Kontrollstelle werden betrachtet; gezählt wird weiterhin nur inkrementeller Zertifizierungsaufwand.</t>
  </si>
  <si>
    <t>Annahmen; beide Anforderungsblätter; Kostenrechnung</t>
  </si>
  <si>
    <t>Administrative Tätigkeiten enger definiert</t>
  </si>
  <si>
    <t>Forschungsziel ist die Erleichterung administrativer Arbeit durch Digitalisierung und kooperative Datennutzung.</t>
  </si>
  <si>
    <t>Nur Erfassen, Übertragen, Prüfen, Verarbeiten, Ablegen oder Kommunizieren von Informationen wird monetarisiert.</t>
  </si>
  <si>
    <t>Annahmen; Kostenrechnung</t>
  </si>
  <si>
    <t>Physische Prüfungen zentraler Einrichtungen ausgeschlossen</t>
  </si>
  <si>
    <t>Sechs Standort- und Prozessprüfungen waren keine reinen Schreibtischtätigkeiten.</t>
  </si>
  <si>
    <t>Weinkellerei, Abfüllung, Etikettierung, Rohstofflager, Maschinen und Flaschenlager aus beiden engen Rechnungen entfernt; Anforderungen bleiben nachvollziehbar.</t>
  </si>
  <si>
    <t>Beide Anforderungsblätter; Annahmen; SankeyMATIC-Codes</t>
  </si>
  <si>
    <t>Vor-Ort-Kontrollchecklisten ausgeschlossen</t>
  </si>
  <si>
    <t>Kontrollchecklisten bildeten die Durchführung physischer Inspektionen ab.</t>
  </si>
  <si>
    <t>Dokumentenbasierte Systemverifizierung und Kontrollstellenmeldung bleiben enthalten; Betriebs-, Zeichennutzer- und Kombichecklisten werden nicht monetarisiert.</t>
  </si>
  <si>
    <t>Beide Anforderungsblätter; Kostenrechnung; SankeyMATIC-Codes</t>
  </si>
  <si>
    <t>BioZBW-Gruppenpakete geprüft</t>
  </si>
  <si>
    <t>Funktionale Übertragungen aus QZBW waren inhaltlich zu entscheiden.</t>
  </si>
  <si>
    <t>Verträge/Meldedatei/Eigenkontrollcheckliste, zwölf dokumentenbezogene interne Prüftätigkeiten sowie Beschwerden/Protokoll/QMS bestätigt; direkte EU-Basis und Extrapolation gekennzeichnet.</t>
  </si>
  <si>
    <t>Anforderungen_BioZBW; Quellen; Prüfprotokoll</t>
  </si>
  <si>
    <t>Empirische Zeitansätze bleiben Modellwerte.</t>
  </si>
  <si>
    <t>HACCP fachlich eingeordnet</t>
  </si>
  <si>
    <t>QZBW und BioZBW verlangen bei Weinbereitung/Verarbeitung ein dokumentiertes HACCP-Konzept.</t>
  </si>
  <si>
    <t>Anforderung beim richtigen Akteur ausgewiesen, aber nicht monetarisiert, weil HACCP bereits nach Art. 5 VO (EG) 852/2004 Baseline ist.</t>
  </si>
  <si>
    <t>Beide Anforderungsblätter; Annahmen</t>
  </si>
  <si>
    <t>Gemischte Analyseposition quellenbasiert bereinigt</t>
  </si>
  <si>
    <t>500 EUR bündelten Zucker, Säure, Alkohol, Sensorik und Nmin ohne trennbare Akteure oder Kosten.</t>
  </si>
  <si>
    <t>Vorläufig ohne Kostenallokation aufgeteilt; abschließende fachrechtliche Bündelung am 2026-07-24 dokumentiert.</t>
  </si>
  <si>
    <t>Anforderungen_QZBW; Annahmen</t>
  </si>
  <si>
    <t>Durch spätere Entscheidung erledigt.</t>
  </si>
  <si>
    <t>Zahlenherkunft ergänzt</t>
  </si>
  <si>
    <t>Direkt übernommene Werte, Analogübertragungen und methodische Entscheidungen waren schwer unterscheidbar.</t>
  </si>
  <si>
    <t>Spalten Zahlenherkunft und Übertragungsstatus ergänzt; keine neue numerische Schätzung vorgenommen.</t>
  </si>
  <si>
    <t>Zeitkonflikte methodisch behandelt</t>
  </si>
  <si>
    <t>Mehrere Modellwerte weichen von Kommentarschätzungen ab.</t>
  </si>
  <si>
    <t>Modellwerte bleiben Basiswerte; Kommentarschätzungen werden als Unsicherheitsbereiche dokumentiert, ohne neue Mittelwerte.</t>
  </si>
  <si>
    <t>Empirische Validierung bleibt sinnvoll.</t>
  </si>
  <si>
    <t>SankeyMATIC beibehalten</t>
  </si>
  <si>
    <t>Excel-Add-ins stehen mit der Universitätslizenz nicht zur Verfügung.</t>
  </si>
  <si>
    <t>Aktuelle enge Codes werden aus den enthaltenen Zeilen der Arbeitsmappe neu erzeugt.</t>
  </si>
  <si>
    <t>SankeyMATIC-Codes</t>
  </si>
  <si>
    <t>Szenarioauswahl wurde am 2026-07-24 abschließend festgelegt.</t>
  </si>
  <si>
    <t>Spätere Publikationsbereinigung vorgemerkt</t>
  </si>
  <si>
    <t>Interne Entwicklungs- und Herkunftsbezeichnungen sollen im Abschlussbericht nicht präsent sein.</t>
  </si>
  <si>
    <t>Interne Arbeitsversion bleibt archiviert; spätere Publikationsfassung wird neutralisiert und erklärt Abweichungen zum Zwischenbericht methodisch.</t>
  </si>
  <si>
    <t>Annahmen; Prüfprotokoll</t>
  </si>
  <si>
    <t>Erst vor Finalisierung des Abschlussberichts durchführen.</t>
  </si>
  <si>
    <t>Anforderungs- und Tätigkeitsformulierungen entdoppelt</t>
  </si>
  <si>
    <t>Die bisherige Anforderungsspalte wiederholte die Tätigkeit und enthielt einen unpassenden Quellenhinweis; mehrere Tätigkeiten hatten kein Verb.</t>
  </si>
  <si>
    <t>Fachliche Soll-Anforderung und administrative Tätigkeit getrennt; alle Tätigkeiten als Objekt plus Verb formuliert; Quellen bleiben in derselben Zeile in den Quellspalten.</t>
  </si>
  <si>
    <t>Beide Anforderungsblätter; SankeyMATIC-Codes</t>
  </si>
  <si>
    <t>Baseline-Spalte als Referenzzustand präzisiert</t>
  </si>
  <si>
    <t>Die ausführliche Baseline wiederholte allgemeine Informationen, enthielt aber wichtige Hinweise wie die fachrechtliche HACCP-Pflicht.</t>
  </si>
  <si>
    <t>Spalte in „Ohnehin bestehende Pflicht / Referenzzustand“ umbenannt und auf die konkrete Abgrenzungsinformation je Anforderung verkürzt.</t>
  </si>
  <si>
    <t>Programmfremde Quellenangaben bereinigt</t>
  </si>
  <si>
    <t>34 QZBW-Zeilen enthielten BioZBW-Dokumente und 12 BioZBW-Zeilen QZBW-Dokumente als pauschal übernommene Quellenangabe.</t>
  </si>
  <si>
    <t>Normative Quellen programmspezifisch getrennt; QZBW-Übertragungen auf BioZBW erscheinen ausschließlich unter Zahlenherkunft/Übertragungsstatus.</t>
  </si>
  <si>
    <t>Anforderungen_QZBW; Anforderungen_BioZBW; Quellen; Annahmen</t>
  </si>
  <si>
    <t>GVO-Nachweispaket entdoppelt</t>
  </si>
  <si>
    <t>Bescheinigung und zugehörige GVO-Nachweise waren als zwei identische Vorgänge mit jeweils 60 Minuten und 50 EUR angesetzt.</t>
  </si>
  <si>
    <t>Zu einem gemeinsamen Nachweispaket zusammengeführt; nur einmal 60 Minuten beziehungsweise 50 EUR berücksichtigt.</t>
  </si>
  <si>
    <t>Anforderungen_QZBW; Kostenrechnung; SankeyMATIC-Codes; Annahmen</t>
  </si>
  <si>
    <t>Qualitätsanalysen und Nmin fachrechtlich gebündelt</t>
  </si>
  <si>
    <t>Zucker, Säure, Alkohol, Sensorik und Nmin waren als gemischte 500-EUR-Position ohne eindeutigen Akteur oder zusätzliche Zertifizierungswirkung erfasst.</t>
  </si>
  <si>
    <t>Weinparameter zum fachrechtlichen Untersuchungsbefund gebündelt; QZBW-Qualitätsnachweis separat ohne Kosten; Nmin in Düngebedarfsermittlung/Düngemittelaufzeichnungen integriert.</t>
  </si>
  <si>
    <t>Anforderungen_QZBW; Annahmen; Quellen</t>
  </si>
  <si>
    <t>SankeyMATIC auf zwei Szenarien reduziert</t>
  </si>
  <si>
    <t>Vier Codes enthielten zusätzlich zwei breite, methodisch nicht verwendete Szenarien und keinen vorgeschalteten Gesamtflow.</t>
  </si>
  <si>
    <t>Nur QZBW und BioZBW – jeweils zertifizierungsspezifisch – beibehalten; beide Codes beginnen mit einem automatisch berechneten Gesamtflow.</t>
  </si>
  <si>
    <t>Fehlende wörtliche Quellenbelege ergänzt</t>
  </si>
  <si>
    <t>In 56 Zeilen stand lediglich ein Platzhalter ohne wörtlichen Quellenbeleg.</t>
  </si>
  <si>
    <t>Die zugehörigen Programmrichtlinien, Verträge, Eigenkontroll- und Neutral-Kontrollchecklisten wurden im Volltext durchsucht; wörtliche Belege und genaue Fundstellen wurden zeilenbezogen ergänzt. Wo eine Quelle nur eine übergeordnete Pflicht belegt, wird die begrenzte Belegreichweite ausdrücklich genannt.</t>
  </si>
  <si>
    <t>Anforderungen_QZBW; Anforderungen_BioZBW; Quellen; Prüfprotokoll</t>
  </si>
  <si>
    <t>Keine verbleibenden Platzhalter dieser Formulierung.</t>
  </si>
  <si>
    <t>2026-07-27</t>
  </si>
  <si>
    <t>Reduzierte Anforderungsblätter ergänzt</t>
  </si>
  <si>
    <t>Die Vollblätter enthalten zusätzlich Baseline-, Prüf- und Herleitungsspalten sowie nicht zertifizierungsspezifische Anforderungen.</t>
  </si>
  <si>
    <t>Je Programm wurde eine kompakte, mit dem Vollblatt verknüpfte Ansicht erstellt. Enthalten sind nur Zeilen mit „Zertifizierungsspezifischer Zusatzaufwand = Ja“ sowie die Spalten A:G, K:P und V:X.</t>
  </si>
  <si>
    <t>Anford_QZBW_zert_spez; Anford_BioZBW_zert_spez</t>
  </si>
  <si>
    <t>Gerätespezifische Pfadverweise vollständig entfernt</t>
  </si>
  <si>
    <t>Gerätespezifische Speicherpfade wären nach der Online-Veröffentlichung ungültig und legten persönliche Ablagestrukturen offen.</t>
  </si>
  <si>
    <t>Fundstellen auf Dokumenttitel, Seiten-/Artikelangaben und offizielle URLs reduziert; Quellenregister auf offizielle Bezugsquellen umgestellt; interne Sankey-Codes als in der Arbeitsmappe enthalten gekennzeichnet.</t>
  </si>
  <si>
    <t>Anforderungen_QZBW; Anforderungen_BioZBW; Quellen; SankeyMATIC-Codes; beide reduzierten Anforderungsblätter</t>
  </si>
  <si>
    <t>2026-07-28</t>
  </si>
  <si>
    <t>Fundstellen in reduzierten Anforderungsblättern vereinheitlicht</t>
  </si>
  <si>
    <t>Die Spalte „Genaue Fundstelle“ wiederholte teilweise das Quelldokument und enthielt URLs oder interpretierende Hinweise statt reiner Navigationsangaben.</t>
  </si>
  <si>
    <t>Fundstellen auf Seite und Kapitel-/Abschnittsnummer beziehungsweise Artikelangaben reduziert; Endreihenfolge im BioZBW-Blatt auf Quelldokument, Fundstelle, Zitat vereinheitlicht.</t>
  </si>
  <si>
    <t>Kostenrechnung auf reduzierte Anforderungsblätter umgestellt</t>
  </si>
  <si>
    <t>Nach der Spaltenumordnung enthielten Formeln der Kostenrechnung ungültige #BEZUG!-Verweise auf frühere Spaltenstrukturen.</t>
  </si>
  <si>
    <t>Formeln mit direkten, begrenzten Bezügen auf die beiden reduzierten Anforderungsblätter neu aufgebaut; QZ-0052 gemäß bestehender Abgrenzung nicht in der engen Kostenrechnung berücksichtigt und die verschobenen Zahlenwerte dieser Zeile geleert.</t>
  </si>
  <si>
    <t>Kostenrechnung; Anford_QZBW_zert_spez; Anford_BioZBW_zert_spez</t>
  </si>
  <si>
    <t>SankeyMATIC-Darstellung für breite Ausgabe optimiert</t>
  </si>
  <si>
    <t>Die nahezu quadratische Diagrammfläche führte bei den zahlreichen Endknoten zu überlappenden und teilweise abgeschnittenen Beschriftungen.</t>
  </si>
  <si>
    <t>Beide Codes auf 3000 × 1800 Pixel mit größeren seitlichen Rändern umgestellt; Knotenbreite auf 18 erhöht; Grundschrift auf 9 Pixel verkleinert; Namen und Werte auf identische Größe sowie gleichbleibende Skalierung gesetzt.</t>
  </si>
  <si>
    <t>SankeyMATIC-Codes, Diagramme 1 und 2</t>
  </si>
  <si>
    <t>Ersten SankeyMATIC-Ausgangsknoten in „Gesamt“ umbenannt</t>
  </si>
  <si>
    <t>Der erste Ausgangsknoten trug die lange Bezeichnung „Gesamter zertifizierungsspezifischer Aufwand“.</t>
  </si>
  <si>
    <t>Den ersten Ausgangsknoten in beiden SankeyMATIC-Codes einheitlich in „Gesamt“ umbenannt; alle Flusswerte und nachgelagerten Knoten unverändert belassen.</t>
  </si>
  <si>
    <t>2026-07-31</t>
  </si>
  <si>
    <t>Rollenmodell Erzeugergruppe, Zeichennutzer und Lizenznehmer geklärt</t>
  </si>
  <si>
    <t>Die Erzeugergruppe erfüllt gegenüber Mitgliedern teilweise lizenznehmerähnliche Bündelungsfunktionen; unklar war, ob sie rechtlich/funktional zum Lizenznehmer wird.</t>
  </si>
  <si>
    <t>Die Gruppe bleibt Zeichennutzer und Zertifikatsinhaber; QZBW verwendet hierfür den Oberbegriff QMS, das EU-Bio-Recht den Oberbegriff IKS. Ein separater Lizenznehmer bleibt für den Zeichennutzungsvertrag, die Programmüberwachung und lizenznehmerspezifische Aufgaben erforderlich.</t>
  </si>
  <si>
    <t>Beide Anforderungsblätter; Annahmen; Quellen</t>
  </si>
  <si>
    <t>BEL-001 bis BEL-005</t>
  </si>
  <si>
    <t>QMS-Kostenblock fachlich abgegrenzt und umbenannt</t>
  </si>
  <si>
    <t>Die Bezeichnung Maintenance and implementation of the QMS beziehungsweise Durchführung des QMS suggerierte die Vollkosten des gesamten QMS, obwohl nur vier Stunden Ablageaufwand angesetzt waren.</t>
  </si>
  <si>
    <t>In Dokumentenlenkung umbenannt. Die 120 EUR decken nur Dokumentenlenkung und -pflege; andere Teilprozesse des QMS beziehungsweise IKS bleiben eigene, überschneidungsfreie Blöcke.</t>
  </si>
  <si>
    <t>Beide Voll- und Kurzblätter; Kostenrechnung; SankeyMATIC-Codes; Annahmen</t>
  </si>
  <si>
    <t>Empirische Validierung des 4-Stunden-Werts bleibt sinnvoll.</t>
  </si>
  <si>
    <t>BEL-006 bis BEL-007</t>
  </si>
  <si>
    <t>Fehlende administrative Teilaufgaben des QMS beziehungsweise IKS ergänzt</t>
  </si>
  <si>
    <t>Mehrere normative Pflichten zu Zulassung, Schulung, Auditorenqualifikation, Inspektionsplanung, Mitgliederfreigabe, Meldungen und Funktionstest waren nicht atomar sichtbar.</t>
  </si>
  <si>
    <t>Als zertifizierungsspezifische Anforderungen mit Quellenbeleg ergänzt; mangels belastbarer Zeitansätze nicht monetarisiert und nicht in Sankey-Codes aufgenommen.</t>
  </si>
  <si>
    <t>Anforderungen_QZBW; Anforderungen_BioZBW; beide reduzierten Anforderungsblätter; Quellen</t>
  </si>
  <si>
    <t>Für eine erweiterte Vollkostenrechnung Zeitansätze empirisch erheben.</t>
  </si>
  <si>
    <t>BEL-008 bis BEL-012</t>
  </si>
  <si>
    <t>Rückstandsuntersuchungen aus QZBW-Weinaggregation entfernt</t>
  </si>
  <si>
    <t>Der allgemeine Abschnitt 6.6 wurde als QZBW-spezifische Weinpflicht der Genossenschaft interpretiert.</t>
  </si>
  <si>
    <t>Die produktspezifische Tabelle 6.9 enthält für Wein, Sekt und Perlwein keinen Rückstandsuntersuchungsplan. Die 240-EUR-Position bleibt nur im Ausschlussregister/Vollblatt nachvollziehbar.</t>
  </si>
  <si>
    <t>Anforderungen_QZBW; Anford_QZBW_zert_spez; Kostenrechnung; SankeyMATIC-Codes; Annahmen</t>
  </si>
  <si>
    <t>Nur bei Vorlage eines gesonderten, verbindlichen Wein-Prüfplans erneut bewerten.</t>
  </si>
  <si>
    <t>BEL-013 bis BEL-015</t>
  </si>
  <si>
    <t>2026-08-02</t>
  </si>
  <si>
    <t>QMS und IKS programmspezifisch getrennt und Sankey-Kategorien bereinigt</t>
  </si>
  <si>
    <t>QMS und IKS wurden teilweise synonym verwendet; dadurch standen ein vermeintliches internes Kontrollsystem und die Dokumentenpflege unklar auf derselben Sankey-Ebene.</t>
  </si>
  <si>
    <t>QZBW verwendet QMS als Oberbegriff, EU-Bio verwendet IKS. Die monetarisierten Äste heißen neutral 'Interne Prüfungen innerhalb der Gruppe' und 'Dokumentenlenkung'; programmspezifische Begriffe bleiben in den konkreten Tätigkeiten erhalten. Rollen-Kürzel in Klammern wurden aus beiden Codes entfernt.</t>
  </si>
  <si>
    <t>Beide Voll- und Kurzblätter; Kostenrechnung; Annahmen; Protokoll; SankeyMATIC-Codes</t>
  </si>
  <si>
    <t>Öffentliche SankeyMATIC-Links und PNG-Referenzbilder nach Neugenerierung aus den aktualisierten Codes ersetzen.</t>
  </si>
  <si>
    <t>BEL-016 bis BEL-018</t>
  </si>
  <si>
    <t>Quellenbelege zu den fachlichen Entscheidungen vom 31.07. und 02.08.2026</t>
  </si>
  <si>
    <t>Leselogik: Direkter Beleg = Aussage ist ausdrücklich formuliert; kombinierte Herleitung = Schlussfolgerung aus mehreren Regelungen; Tabellenbefund = Aussage ergibt sich aus der belegten Tabellenstruktur beziehungsweise einer leeren Tabellenzelle.</t>
  </si>
  <si>
    <t>Beleg-ID</t>
  </si>
  <si>
    <t>Bezug zum Protokolleintrag</t>
  </si>
  <si>
    <t>Programmbereich</t>
  </si>
  <si>
    <t>Wörtliches Zitat / Tabellenbefund</t>
  </si>
  <si>
    <t>Einordnung des Belegs</t>
  </si>
  <si>
    <t>Offizielle URL / Bezugsquelle</t>
  </si>
  <si>
    <t>BEL-001</t>
  </si>
  <si>
    <t>Rollenmodell Erzeugergruppe, Zeichennutzer und Lizenznehmer</t>
  </si>
  <si>
    <t>QZBW - Programmbestimmungen, Stand 01.01.2025</t>
  </si>
  <si>
    <t>S. 9, Abschnitt 3.4 'Erzeugergruppe'</t>
  </si>
  <si>
    <t>Direkter QZBW-Beleg für die Rollen als Zertifikatinhaber und Zeichennutzer.</t>
  </si>
  <si>
    <t>BEL-002</t>
  </si>
  <si>
    <t>S. 9, Abschnitt 3.5 'Zeichennutzer'</t>
  </si>
  <si>
    <t>Zeichennutzer sind Erzeugergruppen, Verarbeitungs- und Vermarktungsbetriebe [...]. Dazu schließen sie mit einem Lizenznehmer je nach Produktbereich einen entsprechenden Zeichennutzungsvertrag ab.</t>
  </si>
  <si>
    <t>Direkter Beleg: Die Erzeugergruppe wird nicht selbst zum Lizenznehmer, sondern schließt als Zeichennutzer mit einem Lizenznehmer den Vertrag.</t>
  </si>
  <si>
    <t>BEL-003</t>
  </si>
  <si>
    <t>S. 4, Abschnitt 2.1.1 'Systemteilnahme'</t>
  </si>
  <si>
    <t>Die Erzeugergruppe fungiert als Zeichennutzer. Ein gültiger Zeichennutzungsvertrag mit einem QZBW-Lizenznehmer liegt vor.</t>
  </si>
  <si>
    <t>Zusätzlicher direkter QZBW-Beleg für den weiterhin separaten Lizenznehmer.</t>
  </si>
  <si>
    <t>BEL-004</t>
  </si>
  <si>
    <t>BioZBW - Programmbestimmungen, Stand 01.01.2025</t>
  </si>
  <si>
    <t>S. 8, Abschnitt 3.4 'Zeichennutzer'</t>
  </si>
  <si>
    <t>Zeichennutzer sind Verarbeitungs- und Vermarktungsbetriebe [...]. Dazu schließen sie mit einem Lizenznehmer einen entsprechenden Zeichennutzungsvertrag ab.</t>
  </si>
  <si>
    <t>Direkter BioZBW-Beleg für die Trennung von Zeichennutzer und Lizenznehmer; auf die Unternehmergruppe als BioZBW-Zeichennutzer funktional angewendet.</t>
  </si>
  <si>
    <t>BEL-005</t>
  </si>
  <si>
    <t>EU-Öko / BioZBW</t>
  </si>
  <si>
    <t>Art. 35 Abs. 1; Art. 36 Abs. 1 Buchst. d und g sowie Abs. 2; ABl. L 150, S. 40-42</t>
  </si>
  <si>
    <t>Art. 35 Abs. 1: ‚Die zuständigen Behörden oder gegebenenfalls die Kontrollbehörden oder Kontrollstellen stellen allen Unternehmern oder Unternehmergruppen [...] ein Zertifikat aus.‘ Art. 36 Abs. 1 Buchst. d und g: ‚besitzt Rechtspersönlichkeit‘; ‚richtet ein System für interne Kontrollen ein‘. Art. 36 Abs. 2: ‚das Zertifikat nach Artikel 35 für die gesamte Gruppe‘.</t>
  </si>
  <si>
    <t>Kombinierte Herleitung: Die Unternehmergruppe ist selbst Zertifikatssubjekt mit IKS. Die Pflicht zu einem separaten BioZBW-Lizenznehmer folgt ergänzend aus den BioZBW-Programmbestimmungen (BEL-004).</t>
  </si>
  <si>
    <t>BEL-006</t>
  </si>
  <si>
    <t>QMS-Kostenblock abgegrenzt und umbenannt</t>
  </si>
  <si>
    <t>S. 10-11, Abschnitte 7.1.1 'Inhalte' und 7.1.2 'Lenkung und Pflege'</t>
  </si>
  <si>
    <t>Das QMS muss durch Verfahren, Arbeitsanweisungen, Formulare und ggf. weitere Aufzeichnungen entsprechend seiner Größe angemessen dokumentiert sein. Die Dokumente werden regelmäßig auf Aktualität überprüft. Es ist sicherzustellen, dass alle Dokumente des QMS gepflegt werden und die verantwortlichen Personen jeweils die aktuellen Versionen verwenden.</t>
  </si>
  <si>
    <t>Direkter Beleg für den engen Restblock Dokumentenablage, Aktualitätsprüfung und Versionspflege. Er belegt nicht die Vollkosten des gesamten QMS.</t>
  </si>
  <si>
    <t>BEL-007</t>
  </si>
  <si>
    <t>Art. 1 Nr. 1 Buchst. b Ziff. vi und Buchst. c Ziff. iii; ABl. L 151, S. 2-3</t>
  </si>
  <si>
    <t>Kontrolle der Unterlagen und Aufzeichnungen. Entwicklung der IKS-Verfahren und Ausarbeitung der entsprechenden Unterlagen und Aufzeichnungen, Aktualisierung und Verfügbar machen dieser für die IKS-Inspektoren und gegebenenfalls die Mitglieder der Gruppe.</t>
  </si>
  <si>
    <t>Direkter EU-Beleg für Dokumentenlenkung und -pflege im Bio-IKS; die übrigen IKS-Aufgaben sind gesonderte Teilprozesse.</t>
  </si>
  <si>
    <t>BEL-008</t>
  </si>
  <si>
    <t>S. 6-7, Abschnitte 3.2.4, 3.3.2 und 3.3.3</t>
  </si>
  <si>
    <t>Es muss ein dokumentiertes Verfahren über die Aufnahme neuer Mitgliedsbetriebe geben. Bevor interne Audits/Kontrollen selbstständig durchgeführt werden, muss der interne Auditor/Kontrolleur mindestens ein/e Audit/Kontrolle als Beobachter begleitet haben. Die Mitarbeiter/das Personal und die Mitglieder der Erzeugergruppe werden regelmäßig geschult.</t>
  </si>
  <si>
    <t>Direkte Belege für Zulassungsmanagement, Qualifikation und Schulungsdokumentation.</t>
  </si>
  <si>
    <t>BEL-009</t>
  </si>
  <si>
    <t>S. 8, Abschnitte 4.1.5 bis 4.1.8; S. 10, Abschnitt 6.1.2</t>
  </si>
  <si>
    <t>Interne Audits/Kontrollen können in Teilaudits erfolgen. In diesem Fall muss ein Zeitplan vorliegen. Diese Freigabe ist dokumentiert. Das System muss mindestens jährlich getestet werden. Der Test ist zu dokumentieren.</t>
  </si>
  <si>
    <t>Direkte Belege für Inspektionsplanung, dokumentierte Mitgliederfreigabe im Vier-Augen-Prinzip und den jährlichen Funktionstest der Rückverfolgbarkeit.</t>
  </si>
  <si>
    <t>BEL-010</t>
  </si>
  <si>
    <t>Art. 1 Nr. 1 Buchst. b; ABl. L 151, S. 2</t>
  </si>
  <si>
    <t>Das System für interne Kontrollen (IKS) umfasst dokumentierte Verfahren zu folgenden Aspekten: Registrierung der Mitglieder, interne Inspektionen, Zulassung neuer Mitglieder, Schulungen, Kontrolle der Unterlagen und Aufzeichnungen, Maßnahmen bei Verstößen und interne Rückverfolgbarkeit.</t>
  </si>
  <si>
    <t>Direkter EU-Beleg dafür, dass das Bio-IKS mehr umfasst als reine Dokumentenablage.</t>
  </si>
  <si>
    <t>BEL-011</t>
  </si>
  <si>
    <t>Art. 1 Nr. 1 Buchst. c Ziff. vii bis xi; ABl. L 151, S. 3</t>
  </si>
  <si>
    <t>Jährliche Überprüfung der Erklärungen zu Interessenkonflikten der IKS-Inspektoren; Anberaumung interner Inspektionen; Sicherstellung angemessener Schulungen; Zulassung neuer Mitglieder oder neuer Produktionseinheiten oder neuer Tätigkeiten bestehender Mitglieder; Festlegung und Weiterverfolgung von Maßnahmen bei Verstößen.</t>
  </si>
  <si>
    <t>Direkte EU-Belege für Rollenpflege, Planung, Kompetenzbewertung, Zulassung und Maßnahmenmanagement.</t>
  </si>
  <si>
    <t>BEL-012</t>
  </si>
  <si>
    <t>Art. 5; ABl. L 62, S. 10-11</t>
  </si>
  <si>
    <t>Die Unternehmergruppe bewahrt für die Zwecke des internen Kontrollsystems (IKS) folgende Unterlagen und Aufzeichnungen auf.</t>
  </si>
  <si>
    <t>Die anschließende Liste nennt u. a. Mitgliederliste mit Versionsstand, Mitgliedsvereinbarungen, interne Inspektionsberichte, Schulungs- und Maßnahmenaufzeichnungen, Rückverfolgbarkeitsaufzeichnungen sowie Ernennungsdokumente. Direkter EU-Beleg für die ergänzten Aufzeichnungsaufgaben.</t>
  </si>
  <si>
    <t>https://eur-lex.europa.eu/legal-content/DE/ALL/?uri=CELEX:32021R0279</t>
  </si>
  <si>
    <t>BEL-013</t>
  </si>
  <si>
    <t>S. 21-22, Abschnitt 6.6 'Rückstandsuntersuchungen'</t>
  </si>
  <si>
    <t>Alle Teilnehmer sind deshalb zur Mitwirkung an den jeweils produktspezifischen Probenahmen im vorgeschriebenen Umfang verpflichtet. Die Lizenznehmer sind für die Organisation und Umsetzung der Prüfpläne des Qualitätszeichens Baden-Württemberg verantwortlich. In Absprache mit dem Lizenznehmer können Untersuchungen auch von Zeichennutzern direkt in Auftrag gegeben werden.</t>
  </si>
  <si>
    <t>Direkter Beleg: Eine Kostenpflicht setzt einen produktspezifischen Prüfplan voraus; primär ist der Lizenznehmer zuständig, der Zeichennutzer nur nach Absprache.</t>
  </si>
  <si>
    <t>BEL-014</t>
  </si>
  <si>
    <t>S. 23-24, Abschnitt 6.9 'Übersicht Kontrollfrequenzen bei Teilnehmern', Tabelle; Produktbereich 'Wein, Sekt, Perlwein'</t>
  </si>
  <si>
    <t>Tabellenbefund: In der Spalte 'Rückstandsuntersuchung' sind sowohl bei 'Traubenerzeuger' als auch bei 'Winzergenossenschaft, Kellerei' die Zellen leer. Zum Vergleich enthalten andere Produktbereiche in derselben Spalte konkrete Frequenzen oder Monitoringvorgaben.</t>
  </si>
  <si>
    <t>Beleg durch Tabellenstruktur, kein wörtlicher Normsatz. Daraus folgt: Für Wein ist in dieser Kontrollfrequenztabelle kein Rückstandsuntersuchungsplan ausgewiesen.</t>
  </si>
  <si>
    <t>BEL-015</t>
  </si>
  <si>
    <t>S. 4, Kapitel 1 'Grundlegendes'</t>
  </si>
  <si>
    <t>Rückstandsuntersuchungen sind Bestandteil der Kontrolle des Zeichennutzers bzw. des Lizenznehmers und werden, um Dopplungen zu vermeiden, im Folgenden nicht berücksichtigt.</t>
  </si>
  <si>
    <t>Direkter Beleg gegen eine zusätzliche Einordnung als eigenständige QMS-/Gruppenzertifizierungsaufgabe. Zusammen mit BEL-014 begründet dies den Ausschluss aus der Weinaggregation.</t>
  </si>
  <si>
    <t>BEL-016</t>
  </si>
  <si>
    <t>QMS als einheitlicher analytischer Oberbegriff und interne Kontrolle als Teilprozess abgegrenzt</t>
  </si>
  <si>
    <t>S. 11, Abschnitt 8.3 'Begriffe und Definitionen'</t>
  </si>
  <si>
    <t>In diesem Kontext stellt das Qualitätsmanagementsystem die Gesamtheit aller Verfahren und Prozesse dar, die in einem Unternehmen für die Erfüllung der Standardanforderungen erforderlich sind.</t>
  </si>
  <si>
    <t>Direkter Beleg: QMS ist im QZBW der Oberbegriff und nicht nur ein einzelner Dokumentations- oder Kontrollprozess.</t>
  </si>
  <si>
    <t>https://mbw.imageplant.de/media/category/363</t>
  </si>
  <si>
    <t>BEL-017</t>
  </si>
  <si>
    <t>QMS als Oberrahmen sowie interne Audits und Kontrollen als Teilprozesse abgegrenzt</t>
  </si>
  <si>
    <t>Ein Interner Auditor bewertet das QMS und ggf. Standorte [...] Ein Interner Kontrolleur bewertet Mitgliedsbetriebe gemäß den Standardvorgaben. Eine interne Kontrolle bezeichnet die interne Bewertung eines Mitgliedsbetriebes gemäß den Standardvorgaben.</t>
  </si>
  <si>
    <t>Direkter Beleg für die Trennung zwischen dem QMS als Oberrahmen und der internen Kontrolle als konkreter Prüftätigkeit.</t>
  </si>
  <si>
    <t>BEL-018</t>
  </si>
  <si>
    <t>EU-Bio-Quellenbegriff IKS dem einheitlichen analytischen Oberbegriff QMS zugeordnet</t>
  </si>
  <si>
    <t>Verordnung (EU) 2018/848; Delegierte Verordnung (EU) 2021/715</t>
  </si>
  <si>
    <t>VO (EU) 2018/848, Art. 36 Abs. 1 Buchst. g; VO (EU) 2021/715, Art. 1 Nr. 1 Buchst. b</t>
  </si>
  <si>
    <t>Die Unternehmergruppe richtet ein System für interne Kontrollen ein, das aus dokumentierten Kontrolltätigkeiten und -verfahren besteht. Das IKS umfasst unter anderem Registrierung, interne Inspektionen, Schulungen, Kontrolle der Unterlagen, Maßnahmen bei Verstößen und interne Rückverfolgbarkeit.</t>
  </si>
  <si>
    <t>Der unionsrechtliche Quellenbegriff wird in Quellenangaben und Zitaten erhalten; in den analytischen Kategorien wird das System einheitlich als QMS bezeichnet.</t>
  </si>
  <si>
    <t>https://eur-lex.europa.eu/eli/reg/2018/848/oj?locale=de; https://eur-lex.europa.eu/legal-content/DE/ALL/?uri=CELEX:32021R0715</t>
  </si>
  <si>
    <t>BEL-019</t>
  </si>
  <si>
    <t>QMS der Erzeugergruppe als eigener Rollenstrom der Genossenschaft</t>
  </si>
  <si>
    <t>QZBW / methodisches Übertragungsmodell</t>
  </si>
  <si>
    <t>S. 5, Abschnitt 3.1.1</t>
  </si>
  <si>
    <t>Die Erzeugergruppe muss über ein Qualitätsmanagementsystem (QMS) verfügen, das sicherstellt, dass alle Mitglieder (Erzeuger) die Standardvorgaben erfüllen.</t>
  </si>
  <si>
    <t>Direkter Beleg für das QMS als System zur Sicherstellung der Standardkonformität der Mitglieder. Im Sankey wird dieser Aufgabenbereich von den eigenen Zeichennutzerpflichten der Genossenschaft getrennt.</t>
  </si>
  <si>
    <t>BEL-020</t>
  </si>
  <si>
    <t>Warenflusstrennung als QZBW-Zeichennutzerpflicht ergänzt</t>
  </si>
  <si>
    <t>Direkter Beleg für eine administrative Zeichennutzerpflicht. Der Modellansatz wird analog zur gleichartigen BioZBW-Position mit 120 Minuten und 50 EUR angesetzt.</t>
  </si>
  <si>
    <t>BEL-021</t>
  </si>
  <si>
    <t>Eigenkontrolle der Genossenschaft als BioZBW-Zeichennutzer quellenseitig korrigiert</t>
  </si>
  <si>
    <t>BioZBW – Zusatzanforderungen für pflanzliche Produkte, Stand 2024</t>
  </si>
  <si>
    <t>S. 8, Abschnitt III.3</t>
  </si>
  <si>
    <t>Der Zeichennutzer hat in eigener Verantwortung die erforderlichen Vorkehrungen zu treffen, um sicherzustellen, dass die gekennzeichneten Erzeugnisse den Bestimmungen des Biozeichens entsprechen. Erforderlich sind insbesondere betriebliche Eigenprüfungen, die über Aufzeichnungen (z.B. Checklisten) zu belegen sind.</t>
  </si>
  <si>
    <t>Direkter Beleg für die Eigenprüfung in der Zeichennutzerrolle. Die bisherige Quelle aus dem Gruppenrecht wurde ersetzt; die jährliche Frequenz bleibt ausdrücklich als Modellannahme gekennzeichnet.</t>
  </si>
  <si>
    <t>BEL-022</t>
  </si>
  <si>
    <t>Warenflusstrennung zusätzlich durch QZBW-Eigenkontrollcheckliste bestätigt</t>
  </si>
  <si>
    <t>QZBW – Eigenkontrolle Zeichennutzer Wein, Version 2025</t>
  </si>
  <si>
    <t>S. 2, Abschnitt 1.5</t>
  </si>
  <si>
    <t>Nicht QZBW-Ware im gesamten Betriebsablauf von QZBW-Ware nachvollziehbar getrennt geführt.</t>
  </si>
  <si>
    <t>Zweiter unabhängiger Beleg innerhalb der QZBW-Zeichennutzerunterlagen; bestätigt die Zuordnung zum Rollenstrom Zeichennutzer.</t>
  </si>
  <si>
    <t>Teilnahmebeziehung Gruppenmitglied korrigiert</t>
  </si>
  <si>
    <t>QZ-0001/BIO-0001 nannten fälschlich den Lizenznehmer als unmittelbaren Vertragspartner im Gruppenmodell.</t>
  </si>
  <si>
    <t>Tätigkeiten und Quellen auf Erzeugergruppe beziehungsweise Genossenschaft als Zeichennutzerin/Unternehmergruppe umgestellt.</t>
  </si>
  <si>
    <t>Anforderungsblätter; reduzierte Blätter; Sankey-Codes; Kostenrechnung</t>
  </si>
  <si>
    <t>BioZBW bleibt als systematische Übertragung gekennzeichnet.</t>
  </si>
  <si>
    <t>QZBW Teilnahmevereinbarung GZ 2023, S. 1–2; BioZBW Programmbestimmungen 2025, S. 22–23</t>
  </si>
  <si>
    <t>Wörtliche Zitate in den jeweiligen Zeilen</t>
  </si>
  <si>
    <t>Bislang unbepreiste QMS-Steuerungsaufgaben monetarisiert</t>
  </si>
  <si>
    <t>Normative Pflichten waren sichtbar, aber nicht in den Gesamtkosten enthalten.</t>
  </si>
  <si>
    <t>Zentrale analoge Zeitansätze von 15–60 Minuten ergänzt; hohe Unsicherheit und spätere empirische Validierung ausdrücklich dokumentiert.</t>
  </si>
  <si>
    <t>Anforderungsblätter; Annahmen; Kostenrechnung; Sankey-Codes</t>
  </si>
  <si>
    <t>Empirische Validierung offen.</t>
  </si>
  <si>
    <t>QZBW Anforderungen Erzeugergruppen 2023; EU-VO 2018/848, 2021/715 und 2021/279</t>
  </si>
  <si>
    <t>ANN-026 bis ANN-031</t>
  </si>
  <si>
    <t>Fehlende Datenübermittlungs- und Kontrolladministration ergänzt</t>
  </si>
  <si>
    <t>BPMN enthielt Bereitstellung, Korrekturmeldung, Kontrollauftrag und Zertifikatsfluss ohne entsprechende atomare Kostenpositionen.</t>
  </si>
  <si>
    <t>Neue Tätigkeiten für Erzeuger, Erzeugergruppe, Kontrollstelle und externen Lizenznehmer ergänzt.</t>
  </si>
  <si>
    <t>Anforderungsblätter; Kostenrechnung; Sankey-Codes</t>
  </si>
  <si>
    <t>Zeitansätze empirisch zu prüfen.</t>
  </si>
  <si>
    <t>QZBW Teilnahmevereinbarung GZ; QZBW Anforderungen Erzeugergruppen; EU-Gruppenrecht</t>
  </si>
  <si>
    <t>QZ-0060 bis QZ-0067; BIO-0053 bis BIO-0060</t>
  </si>
  <si>
    <t>BioZBW-Erzeugercheckliste abgegrenzt</t>
  </si>
  <si>
    <t>Das kombinierte BPMN übertrug die QZBW-Erzeuger-Eigenkontrolle analog auf BioZBW.</t>
  </si>
  <si>
    <t>Keine eigene BioZBW-Erzeugercheckliste ergänzt; BIO-0018 als interne QMS-Kontrolle des Mitglieds präzisiert.</t>
  </si>
  <si>
    <t>BioZBW-Anforderungsblätter; Annahmen; später Datenflussanalyse/BPMN</t>
  </si>
  <si>
    <t>Bei Vorlage eines abweichenden offiziellen Dokuments neu prüfen.</t>
  </si>
  <si>
    <t>BioZBW ZA Pflanzliche Produkte 2025; Eigenkontrolle Zeichennutzer 2024; EU-VO 2018/848 und 2021/279</t>
  </si>
  <si>
    <t>BioZBW-Warenflusstrennung Erzeuger ausgeschlossen</t>
  </si>
  <si>
    <t>BIO-0007 war mit einer Zeichennutzerquelle belegt und gehört bei EU-ökologischer Baseline nicht als zusätzlicher Erzeugeraufwand in die enge Rechnung.</t>
  </si>
  <si>
    <t>Erzeugerposition aus enger Aggregation entfernt; Zeichennutzerposition BIO-0038 bleibt enthalten.</t>
  </si>
  <si>
    <t>BioZBW-Anforderungsblätter; Kostenrechnung; Sankey-Code</t>
  </si>
  <si>
    <t>Keine offene Frage.</t>
  </si>
  <si>
    <t>BioZBW ZA Pflanzliche Produkte 2025, Abschnitt III.6</t>
  </si>
  <si>
    <t>AP-Scope methodisch abgegrenzt</t>
  </si>
  <si>
    <t>Datenflussanalyse und Kostenanalyse behandeln dieselben Nachweise mit unterschiedlichen Zielsetzungen.</t>
  </si>
  <si>
    <t>Redundante Darstellung vorhandener Nachweise im Fachrechts- und QMS-Prozess der Datenflussanalyse ausdrücklich zugelassen; doppelte Monetarisierung ausgeschlossen.</t>
  </si>
  <si>
    <t>Annahmen; Kostenrechnung; später Abschlussbericht und Metadatenkatalog</t>
  </si>
  <si>
    <t>Methodische Harmonisierung APs</t>
  </si>
  <si>
    <t>BioZBW-Programmbestimmungen 2026 vollständig gegengeprüft</t>
  </si>
  <si>
    <t>Es bestand die Sorge, dass die allgemeinen Programmbestimmungen bisher fehlten.</t>
  </si>
  <si>
    <t>Fassung 2026 mit der bereits verwendeten Fassung 2025 und allen BioZBW-Anforderungszeilen abgeglichen; Eigenkontrollpflicht des Zeichennutzers bestätigt und Quelle aktualisiert.</t>
  </si>
  <si>
    <t>BioZBW-Anforderungsblätter; Quellen; Annahmen</t>
  </si>
  <si>
    <t>Keine offene Frage zur Existenz der Zeichennutzer-Eigenkontrolle.</t>
  </si>
  <si>
    <t>BioZBW-Programmbestimmungen 2026, S. 14, Abschnitt 6.1</t>
  </si>
  <si>
    <t>Jeder Zeichennutzer […] hat ein durchgängiges Eigenkontrollsystem zu führen und mit den vorgegebenen Checklisten nachzuweisen.</t>
  </si>
  <si>
    <t>Fehlende BioZBW-Zeichennutzerpflichten ergänzt</t>
  </si>
  <si>
    <t>Produktaufstellung und administrative Qualitätsprüfungsnachweise waren bislang nicht als eigene Tätigkeiten monetarisiert.</t>
  </si>
  <si>
    <t>BIO-0061 und BIO-0062 ergänzt; physische/analytische/sensorische Prüfung weiterhin ausgeschlossen.</t>
  </si>
  <si>
    <t>Zeitansätze empirisch zu validieren.</t>
  </si>
  <si>
    <t>BioZBW-Programmbestimmungen 2026, S. 15–16 und 27; ZA pflanzliche Produkte 2024, S. 8–9</t>
  </si>
  <si>
    <t>Wörtliche Zitate in BIO-0061 und BIO-0062</t>
  </si>
  <si>
    <t>Informationspflichten präzisiert und Lizenznehmermeldung ergänzt</t>
  </si>
  <si>
    <t>Jahres-, Änderungs- und Prüfergebnismeldungen waren teilweise nur unter allgemeinen Meldetätigkeiten erfasst.</t>
  </si>
  <si>
    <t>BIO-0016 und BIO-0044 präzisiert; BIO-0063 ergänzt; bedingte Informationspflichten in BIO-0065 sichtbar, aber nicht monetarisiert.</t>
  </si>
  <si>
    <t>BioZBW-Anforderungsblätter; Kostenrechnung; Sankey-Code; Annahmen</t>
  </si>
  <si>
    <t>Tatsächlicher Lizenznehmeraufwand empirisch zu prüfen.</t>
  </si>
  <si>
    <t>BioZBW-Programmbestimmungen 2026, S. 27–28, Abschnitte 11.3–11.5</t>
  </si>
  <si>
    <t>SankeyMATIC-Codes – zertifizierungsspezifische Szenarien</t>
  </si>
  <si>
    <t>Diagramm 1: QZBW – nur zertifizierungsspezifisch</t>
  </si>
  <si>
    <t>Nummer</t>
  </si>
  <si>
    <t>Szenario</t>
  </si>
  <si>
    <t>nur zertifizierungsspezifisch</t>
  </si>
  <si>
    <t>Vollständiger SankeyMATIC-Code</t>
  </si>
  <si>
    <t>Diagramm 2: BioZBW – nur zertifizierungsspezifisch</t>
  </si>
  <si>
    <t>Ohnehin bestehende Pflicht / Referenzzustand</t>
  </si>
  <si>
    <t>Zertifizierungsspezifischer Zusatzaufwand</t>
  </si>
  <si>
    <t>In enger Kostenrechnung enthalten</t>
  </si>
  <si>
    <t>Annahme oder empirischer Wert</t>
  </si>
  <si>
    <t>Zahlenherkunft</t>
  </si>
  <si>
    <t>Übertragungsstatus</t>
  </si>
  <si>
    <t>Begründung der Annahme</t>
  </si>
  <si>
    <t>Kommentar / offene Frage</t>
  </si>
  <si>
    <t>Quelldaten-Zeile</t>
  </si>
  <si>
    <t>Kostenperspektive / Gebührenabgrenzung</t>
  </si>
  <si>
    <t>Ohne QZBW nicht erforderlich.</t>
  </si>
  <si>
    <t>Ja</t>
  </si>
  <si>
    <t>Modellwert beibehalten – abweichender Kommentar als Unsicherheitsbereich dokumentiert</t>
  </si>
  <si>
    <t>Ausgangsmodell – direkt übernommen beziehungsweise formelbasiert daraus berechnet</t>
  </si>
  <si>
    <t>Keine Programmübertragung</t>
  </si>
  <si>
    <t>Bei der Gruppenzertifizierung ersetzt die unmittelbare Einbindung über die Erzeugergruppe die frühere einzelbetriebliche Teilnahmevereinbarung mit einem Lizenznehmer.</t>
  </si>
  <si>
    <t>Rollenbeziehung in V8 korrigiert: Vertragspartner des Gruppenmitglieds ist die Erzeugergruppe.</t>
  </si>
  <si>
    <t>Quellenprüfung 2026-08-02</t>
  </si>
  <si>
    <t>Ressourcenperspektive: Arbeitszeit des ausführenden Akteurs | Nein - keine Zahlungsströme oder Gebühren modelliert</t>
  </si>
  <si>
    <t>Szenariozuordnung korrigiert; Zeitansatz aus Ursprungsmodell</t>
  </si>
  <si>
    <t>Methode im Ursprungsmodell: Formularbasierte Zeitschätzung. QZBW-spezifische Eigenkontrollcheckliste; nicht pauschal auf BioZBW übertragen.</t>
  </si>
  <si>
    <t>Zeitaufwand geschätzt auf 20–30 Minuten für Lesen und Ausfüllen der Eigenkontroll-Checkliste (ca. 1.250 Wörter, strukturierte Tabellenform). Basis: durchschnittliche Lesegeschwindigkeit von 200 Wörtern/Minute und Bearbeitungszeit.</t>
  </si>
  <si>
    <t>Kostenpositionen_korr!3:3</t>
  </si>
  <si>
    <t>Methode im Ursprungsmodell: Prozentuale Verteilung Adminaufwand. GVO-Freiheitsbescheinigung ist in diesem Kostenmodell QZBW-spezifisch.</t>
  </si>
  <si>
    <t>Die frühere separate Position „Nachweise zur GVO-Freiheit“ wurde als Doppelzählung erkannt und in dieses gemeinsame Nachweispaket integriert. Es bleibt ein einmaliger Zeitansatz von 60 Minuten beziehungsweise 50 EUR.</t>
  </si>
  <si>
    <t>Kostenpositionen_korr!4:4</t>
  </si>
  <si>
    <t>Methode im Ursprungsmodell: Formularbasierte Zeitschätzung. Administrative Zertifizierungs-/Kontrollaufgabe gemäß Ursprungsmodell; keine inhaltliche Änderung des Zeitansatzes.</t>
  </si>
  <si>
    <t>Geschätzte Bearbeitungszeit basiert auf einem durchschnittlichen Lesetempo von 200 Wörtern/Minute. Das Dokument umfasst ca. 900 Wörter, daher beträgt die geschätzte Lesezeit rund 5 Minuten. Zusätzliche Zeit für das Verstehen und ggf. Eintragen von Informationen wurde mit 5 Minuten angesetzt. Gesamtaufwand: ca. 10 Minuten.
Zeitannahme prüfen: Modellwert 15 Min.; Quellkommentar nennt ca. 10 Min.</t>
  </si>
  <si>
    <t>Kostenpositionen_korr!5:5</t>
  </si>
  <si>
    <t>QZ-0005</t>
  </si>
  <si>
    <t>Vollständige und aktuelle Ernteaufzeichnungen</t>
  </si>
  <si>
    <t>Ernteaufzeichnungen führen und ablegen</t>
  </si>
  <si>
    <t>Fachrechtlich oder regulär betrieblich ohnehin erforderlich; zusätzlicher Zertifizierungsanteil nicht belastbar isoliert.</t>
  </si>
  <si>
    <t>Nein</t>
  </si>
  <si>
    <t>Nur Gesamtszenario – inkrementeller Anteil nicht isoliert</t>
  </si>
  <si>
    <t>Methode im Ursprungsmodell: Prozentuale Verteilung Adminaufwand. Gesamter Zeitansatz für Ernteaufzeichnungen enthält fachrechtliche bzw. betriebliche Basisdokumentation; kein belastbarer inkrementeller Zertifizierungsanteil.</t>
  </si>
  <si>
    <t>QZBW – Eigenkontrolle Erzeuger: Wein, Sekt und Perlwein – Erzeugung von Keltertrauben, Version 2024</t>
  </si>
  <si>
    <t>Betriebsheft vor Anlieferung der Ernte, spätestens aber bis 30.09. des laufenden Jahres, zur Prüfung vorgelegt.</t>
  </si>
  <si>
    <t>Eigenkontrolle Erzeuger – Wein/Keltertrauben 2024, S. 2, Abschnitt 2.4</t>
  </si>
  <si>
    <t>Kostenpositionen_korr!6:6</t>
  </si>
  <si>
    <t>QZ-0006</t>
  </si>
  <si>
    <t>Traubenerzeuger; Bezugsform: Einzel</t>
  </si>
  <si>
    <t>Vollständig dokumentierte Verkaufszahlen</t>
  </si>
  <si>
    <t>Verkaufszahlen dokumentieren und ablegen</t>
  </si>
  <si>
    <t>Methode im Ursprungsmodell: Prozentuale Verteilung Adminaufwand. Gesamter Zeitansatz für Verkaufszahlen enthält betriebliche Basisdokumentation; kein belastbarer inkrementeller Zertifizierungsanteil.</t>
  </si>
  <si>
    <t>Zeichennutzer sind verpflichtet, eine stets aktuelle Aufstellung der Produkte vorzuhalten, die mit dem Qualitätszeichen Baden-Württemberg gekennzeichnet und vermarktet werden.</t>
  </si>
  <si>
    <t>Programmbestimmungen QZBW 2025, S. 39, Abschnitt 12.3. Die Fundstelle verlangt eine aktuelle Produktaufstellung; eine gesonderte Pflicht zur Aufstellung von Verkaufszahlen wird nicht wörtlich genannt.</t>
  </si>
  <si>
    <t>Kostenpositionen_korr!7:7</t>
  </si>
  <si>
    <t>QZ-0007</t>
  </si>
  <si>
    <t>Vollständige und aktuelle Flächendaten</t>
  </si>
  <si>
    <t>Flächendaten pflegen und aktualisieren</t>
  </si>
  <si>
    <t>Methode im Ursprungsmodell: Prozentuale Verteilung Adminaufwand. Gesamter Zeitansatz für Flächendaten enthält fachrechtliche bzw. betriebliche Basisdokumentation; kein belastbarer inkrementeller Zertifizierungsanteil.</t>
  </si>
  <si>
    <t>Die Erzeugergruppe hat ein Mitgleiderverzeichnis mit folgenden Stammdaten zu führen: […] Verzeichnis der aktuellen Anbauflächen der zertifizierten Produkte [und] Größe der aktuellen Anbaufläche (ha) der zertifizierten Produkte.</t>
  </si>
  <si>
    <t>Anforderungen an Erzeugergruppen 2023, S. 6, Abschnitt 3.2.3; Schreibweise „Mitgleiderverzeichnis“ entspricht dem Original</t>
  </si>
  <si>
    <t>Kostenpositionen_korr!8:8</t>
  </si>
  <si>
    <t>QZ-0008</t>
  </si>
  <si>
    <t>Nachvollziehbar dokumentierte Verfahrensschritte im Produktionsprozess auf Betriebsebene</t>
  </si>
  <si>
    <t>Verfahrensschritte im Produktionsprozess auf Betriebsebene dokumentieren</t>
  </si>
  <si>
    <t>Methode im Ursprungsmodell: Prozentuale Verteilung Adminaufwand. Dokumentation der Produktionsschritte ist nicht vollständig als zusätzlicher Zertifizierungsaufwand isoliert.</t>
  </si>
  <si>
    <t>Bei der Eigenkontrolle müssen alle betriebsspezifischen Prozesse der betreffenden Produktbereiche Berücksichtigung finden.</t>
  </si>
  <si>
    <t>Programmbestimmungen QZBW 2025, S. 17, Abschnitt 6.1</t>
  </si>
  <si>
    <t>Kostenpositionen_korr!9:9</t>
  </si>
  <si>
    <t>QZ-0009</t>
  </si>
  <si>
    <t>Zeichennutzer / Verarbeitungsstufe</t>
  </si>
  <si>
    <t>Zeichennutzer; Bezugsform: Gruppe</t>
  </si>
  <si>
    <t>Dokumentiertes und aktuelles HACCP-Konzept für Weinbereitung beziehungsweise Verarbeitung</t>
  </si>
  <si>
    <t>HACCP-Konzept für Weinbereitung beziehungsweise Verarbeitung dokumentieren und aktuell halten</t>
  </si>
  <si>
    <t>Ein HACCP-basiertes Verfahren ist für Weinbereitung/Verarbeitung bereits nach allgemeinem Lebensmittelhygienerecht erforderlich.</t>
  </si>
  <si>
    <t>noch zu klären</t>
  </si>
  <si>
    <t>Fachlich belegt – als fachrechtliche Baseline nicht monetarisiert</t>
  </si>
  <si>
    <t>Methode im Ursprungsmodell: Prozentuale Verteilung Adminaufwand. HACCP gehört zur Verarbeitungs-/Zeichennutzerstufe, nicht zum reinen Traubenerzeuger; im Modell zudem Überschneidung mit Zeile 43. Bis zur Neuabgrenzung aus Summen ausgeschlossen.</t>
  </si>
  <si>
    <t>QZBW – Zusatzanforderungen Wein 2025; Verordnung (EG) Nr. 852/2004</t>
  </si>
  <si>
    <t>„…nur in Betrieben erlaubt, die ein dokumentiertes HACCP-Konzept umsetzen.“</t>
  </si>
  <si>
    <t>QZBW ZA Wein 2025, S. 7, Abschnitt Hygiene; Art. 5 der VO (EG) 852/2004: https://eur-lex.europa.eu/legal-content/DE/ALL/?uri=CELEX%3A02004R0852-20210324</t>
  </si>
  <si>
    <t>HACCP ist für die Weinbereitung/Verarbeitung fachlich relevant, aber bereits nach allgemeinem Lebensmittelhygienerecht erforderlich. Die QZBW-/BioZBW-Regel macht den vorhandenen Nachweis zur Teilnahmevoraussetzung, erzeugt jedoch keinen isolierten zusätzlichen HACCP-Aufwand.</t>
  </si>
  <si>
    <t>QZ-0010</t>
  </si>
  <si>
    <t>Weinbereitung / Verarbeitung</t>
  </si>
  <si>
    <t>Weinhersteller; Antragsteller der amtlichen Qualitätsweinprüfung</t>
  </si>
  <si>
    <t>Untersuchungsbefund der amtlichen Qualitätsweinprüfung mit analytischen Angaben zu Alkohol, vergärbarem Zucker und Gesamtsäure sowie sensorischem Befund</t>
  </si>
  <si>
    <t>Untersuchungsbefund beschaffen, prüfen und zusammen mit dem Prüfbescheid ablegen</t>
  </si>
  <si>
    <t>Für Qualitätswein bereits nach Weinrecht erforderlich; Untersuchung, Probenahme und Laborleistung sind keine zusätzlichen QZBW-Schreibtischtätigkeiten.</t>
  </si>
  <si>
    <t>je Antrag beziehungsweise Charge</t>
  </si>
  <si>
    <t>Fachlich belegt – fachrechtliche Baseline nicht monetarisiert</t>
  </si>
  <si>
    <t>Kein belastbarer separater administrativer Zeit- oder Kostenansatz</t>
  </si>
  <si>
    <t>Ausgangsmodell – 500-EUR-Mischposition fachrechtlich bereinigt; Altwert nicht übernommen</t>
  </si>
  <si>
    <t>Zucker, Säure, Alkohol und Sensorik werden nicht als vier QZBW-Zusatzanforderungen behandelt, sondern als Bestandteile des fachrechtlichen Untersuchungsbefunds.</t>
  </si>
  <si>
    <t>Der Untersuchungsbefund umfasst einen sensorischen Befund sowie unter anderem vorhandenen Alkohol, vergärbaren Zucker und Gesamtsäure.</t>
  </si>
  <si>
    <t>§§ 22 und 23 sowie Anlage 10 Weinverordnung; https://www.gesetze-im-internet.de/weinv_1995/BJNR063010995.html; https://www.gesetze-im-internet.de/weinv_1995/anlage_10.html</t>
  </si>
  <si>
    <t>Die frühere Sammelposition verband fachrechtliche Qualitätsparameter mit Nmin und mehreren Akteuren. Sie wurde nicht monetarisiert. Nmin ist nun bei Düngebedarfsermittlung/Düngemittelaufzeichnungen eingeordnet.</t>
  </si>
  <si>
    <t>Ressourcenperspektive; keine Labor-, Probenahme- oder Prüfgebühr angesetzt</t>
  </si>
  <si>
    <t>QZ-0011</t>
  </si>
  <si>
    <t>Vollständige Liefer- und Erntebelege</t>
  </si>
  <si>
    <t>Liefer- und Erntebelege dokumentieren und ablegen</t>
  </si>
  <si>
    <t>Methode im Ursprungsmodell: Prozentuale Verteilung Adminaufwand. Liefer-/Erntebelege fallen auch betrieblich bzw. fachrechtlich an; inkrementeller Zertifizierungsanteil nicht getrennt erhoben.</t>
  </si>
  <si>
    <t>Programmbestimmungen QZBW 2025, S. 34, Abschnitt 10.1</t>
  </si>
  <si>
    <t>Kostenpositionen_korr!14:14</t>
  </si>
  <si>
    <t>QZ-0012</t>
  </si>
  <si>
    <t>Vollständige und nachvollziehbare Rechnungsunterlagen</t>
  </si>
  <si>
    <t>Rechnungsunterlagen dokumentieren und ablegen</t>
  </si>
  <si>
    <t>Methode im Ursprungsmodell: Prozentuale Verteilung Adminaufwand. Rechnungsablage ist reguläre betriebliche Administration; nur zusätzlicher Bereitstellungs-/Kennzeichnungsaufwand wäre zertifizierungsspezifisch, wurde aber nicht getrennt erhoben.</t>
  </si>
  <si>
    <t>Kostenpositionen_korr!15:15</t>
  </si>
  <si>
    <t>QZ-0013</t>
  </si>
  <si>
    <t>Vollständige und aktuelle Pflanzenschutzaufzeichnungen</t>
  </si>
  <si>
    <t>Pflanzenschutzaufzeichnungen führen und ablegen</t>
  </si>
  <si>
    <t>Methode im Ursprungsmodell: Prozentuale Verteilung Adminaufwand. Pflanzenschutzaufzeichnungen sind fachrechtlich erforderlich; nur im Szenario inklusive fachrechtlicher Basisadministration.</t>
  </si>
  <si>
    <t>Besondere Dokumentationspflichten gelten für Erzeugerbetriebe […] beim Bezug und beim Einsatz von Pflanzenschutzmitteln und Düngemitteln.</t>
  </si>
  <si>
    <t>Programmbestimmungen QZBW 2025, S. 17–18, Abschnitt 6.1</t>
  </si>
  <si>
    <t>Kostenpositionen_korr!16:16</t>
  </si>
  <si>
    <t>QZ-0014</t>
  </si>
  <si>
    <t>Dokumentierte Düngebedarfsermittlung und Düngemittelaufzeichnungen einschließlich Ermittlung des verfügbaren Stickstoffs</t>
  </si>
  <si>
    <t>Stickstoffdüngebedarf ermitteln sowie Düngemittelaufzeichnungen führen und ablegen</t>
  </si>
  <si>
    <t>Fachrechtliche Pflicht: Der verfügbare Bodenstickstoff und der Düngebedarf sind zu ermitteln und zu dokumentieren; eine eigene Nmin-Laboranalyse ist nur eine mögliche Ermittlungsmethode.</t>
  </si>
  <si>
    <t>Methode im Ursprungsmodell: Prozentuale Verteilung Adminaufwand. Düngemittelaufzeichnungen sind fachrechtlich erforderlich; nur im Szenario inklusive fachrechtlicher Basisadministration.</t>
  </si>
  <si>
    <t>Der im Boden verfügbare Stickstoff ist vor dem Aufbringen wesentlicher Nährstoffmengen zu ermitteln.</t>
  </si>
  <si>
    <t>Nmin wird nicht als separate QZBW-Analyse geführt. Fachrechtlich erforderlich ist die Ermittlung und Dokumentation des verfügbaren Stickstoffs beziehungsweise Düngebedarfs; eine eigene Bodenanalyse ist nur eine mögliche Methode. Probenahme und Laborleistung liegen außerhalb der administrativen Kostenrechnung.</t>
  </si>
  <si>
    <t>Kostenpositionen_korr!17:17</t>
  </si>
  <si>
    <t>QZ-0015</t>
  </si>
  <si>
    <t>Erzeugergruppe als Zeichennutzer und Zertifikatsinhaber; QMS der Erzeugergruppe mit internen Kontrollen der Mitgliedsbetriebe; separater QZBW-Lizenznehmer bleibt erforderlich; Bezugsform: Gruppe</t>
  </si>
  <si>
    <t>Nachvollziehbar dokumentierte Wareneingangskontrollen</t>
  </si>
  <si>
    <t>Wareneingangskontrollen dokumentieren und ablegen</t>
  </si>
  <si>
    <t>Methode im Ursprungsmodell: Prozentuale Verteilung Adminaufwand. Wareneingangskontrolle ist der Zeichennutzer-/Erzeugergemeinschaftsstufe zuzuordnen; Gesamtzeit enthält reguläre Qualitätssicherung und wird nicht als rein inkrementell ausgewiesen.</t>
  </si>
  <si>
    <t>Kostenpositionen_korr!18:18</t>
  </si>
  <si>
    <t>QZBW belegt; Übertragung auf BioZBW noch zu validieren</t>
  </si>
  <si>
    <t>Das Dokument umfasst ca. 2.000 Wörter und muss sowohl gelesen als auch mit Betriebsspezifika (z. B. Kulturen, Adressdaten, Unterschrift) ausgefüllt werden. Bei einer durchschnittlichen Lesegeschwindigkeit von 200 Wörtern pro Minute ergibt sich ein Leseaufwand von ca. 10 Minuten. Für das Ausfüllen ist zusätzlich mit einem Aufwand von ca. 5 Minuten zu rechnen. Insgesamt wird ein Zeitbedarf von ca. 15 Minuten angenommen.</t>
  </si>
  <si>
    <t>Kostenpositionen_korr!19:19</t>
  </si>
  <si>
    <t>Der Vertrag besteht aus ca. 2.850 Wörtern. Bei einer durchschnittlichen Lesegeschwindigkeit von 200 Wörtern pro Minute ergibt sich ein Zeitaufwand von etwa 14–15 Minuten. Zusätzlich kann ein kurzer Zeitraum für die Durchsicht und Unterschrift eingeplant werden (z. B. 2–3 Minuten), falls keine intensive Prüfung erforderlich ist. Gesamtschätzung: 15–18 Minuten.
Widerspruch Zeitannahme: Modellwert 30 Min.; Quellkommentar nennt ca. 15–18 Min.</t>
  </si>
  <si>
    <t>Kostenpositionen_korr!20:20</t>
  </si>
  <si>
    <t>Das Dokument „Datenschutzhinweise Zeichennutzungsvertrag QZBW“ vom 02.07.2021 umfasst 2 Seiten mit ca. 800–900 Wörtern. Bei einer durchschnittlichen Lesegeschwindigkeit von 200 Wörtern pro Minute ergibt sich ein geschätzter Zeitaufwand von etwa 4–5 Minuten zum Lesen. Da das Dokument keine Felder zum Ausfüllen enthält, entfällt zusätzlicher Aufwand zur Bearbeitung.ca. 5–10 Minuten</t>
  </si>
  <si>
    <t>Kostenpositionen_korr!21:21</t>
  </si>
  <si>
    <t>Kostenpositionen_korr!22:22</t>
  </si>
  <si>
    <t>Dokument mit 4 Seiten. Enthält zahlreiche Listenpunkte und Kontrollfelder, die gelesen und mit Betriebsinformationen geprüft bzw. ausgefüllt werden müssen. Geschätzter Aufwand für gründliches Durchlesen und Bearbeitung: ca. 40–50 Minuten bei durchschnittlicher Lesegeschwindigkeit (200 Wörter/Minute) und zusätzlicher Zeit zur Abwägung und Dokumentation betrieblicher Maßnahmen.
Widerspruch Zeitannahme: Modellwert 60 Min.; Quellkommentar nennt ca. 40–50 Min.</t>
  </si>
  <si>
    <t>Kostenpositionen_korr!23:23</t>
  </si>
  <si>
    <t>Methode im Ursprungsmodell: Prozentuale Verteilung Adminaufwand. Administrative Zertifizierungs-/Kontrollaufgabe gemäß Ursprungsmodell; keine inhaltliche Änderung des Zeitansatzes.</t>
  </si>
  <si>
    <t>Kostenpositionen_korr!24:24</t>
  </si>
  <si>
    <t>Kostenpositionen_korr!25:25</t>
  </si>
  <si>
    <t>Kostenpositionen_korr!26:26</t>
  </si>
  <si>
    <t>Kostenpositionen_korr!27:27</t>
  </si>
  <si>
    <t>Kostenpositionen_korr!28:28</t>
  </si>
  <si>
    <t>Kostenpositionen_korr!29:29</t>
  </si>
  <si>
    <t>Kostenpositionen_korr!30:30</t>
  </si>
  <si>
    <t>Kostenpositionen_korr!31:31</t>
  </si>
  <si>
    <t>Kostenpositionen_korr!32:32</t>
  </si>
  <si>
    <t>Kostenpositionen_korr!33:33</t>
  </si>
  <si>
    <t>Kostenpositionen_korr!34:34</t>
  </si>
  <si>
    <t>Kostenpositionen_korr!35:35</t>
  </si>
  <si>
    <t>QZ-0033</t>
  </si>
  <si>
    <t>Audit von zentralen Einrichtungen</t>
  </si>
  <si>
    <t>Konformität der Weinkellerei mit den Programmanforderungen</t>
  </si>
  <si>
    <t>Weinkellerei vor Ort prüfen und Prüfergebnis dokumentieren</t>
  </si>
  <si>
    <t>Keine Schreibtischtätigkeit: physische Standort- beziehungsweise Prozessprüfung; administrativer Prüfnachweis wird separat erfasst.</t>
  </si>
  <si>
    <t>Ausgeschlossen – physische Standort- oder Prozessprüfung</t>
  </si>
  <si>
    <t>Anforderungen an Erzeugergruppen 2023</t>
  </si>
  <si>
    <t>Alle Standorte, an denen Erzeugnisse zentral aufbereitet, gelagert oder abgepackt werden, sind intern zu auditieren.</t>
  </si>
  <si>
    <t>S. 8, Abschnitte 4.1.1 bis 4.1.3</t>
  </si>
  <si>
    <t>Aus der engen Kostenrechnung ausgeschlossen: physische Prüfung. Ob die Anforderungen erfüllt wurden, wird administrativ bereits über Eigenkontrollchecklisten, Nachweisprüfungen und Kontrollprotokolle dokumentiert; eine zusätzliche Kostenposition würde die Systemgrenze überschreiten und kann zu Doppelzählung führen.</t>
  </si>
  <si>
    <t>QZ-0034</t>
  </si>
  <si>
    <t>Konformität des Abfüllbereichs mit den Programmanforderungen</t>
  </si>
  <si>
    <t>Abfüllbereich vor Ort prüfen und Prüfergebnis dokumentieren</t>
  </si>
  <si>
    <t>QZ-0035</t>
  </si>
  <si>
    <t>Konformität der Etikettierung mit den Programmanforderungen</t>
  </si>
  <si>
    <t>Etikettierung vor Ort prüfen und Prüfergebnis dokumentieren</t>
  </si>
  <si>
    <t>QZ-0036</t>
  </si>
  <si>
    <t>Konformität des Rohstofflagers mit den Programmanforderungen</t>
  </si>
  <si>
    <t>Rohstofflager vor Ort prüfen und Prüfergebnis dokumentieren</t>
  </si>
  <si>
    <t>QZ-0037</t>
  </si>
  <si>
    <t>Konformität der Maschinen mit den Programmanforderungen</t>
  </si>
  <si>
    <t>Maschinen vor Ort prüfen und Prüfergebnis dokumentieren</t>
  </si>
  <si>
    <t>QZ-0038</t>
  </si>
  <si>
    <t>Konformität des Flaschenlagers mit den Programmanforderungen</t>
  </si>
  <si>
    <t>Flaschenlager vor Ort prüfen und Prüfergebnis dokumentieren</t>
  </si>
  <si>
    <t>QZ-0039</t>
  </si>
  <si>
    <t>Nachvollziehbar dokumentierte Verfahrensschritte in zentralen Einrichtungen</t>
  </si>
  <si>
    <t>Verfahrensschritte in zentralen Einrichtungen dokumentieren</t>
  </si>
  <si>
    <t>Methode im Ursprungsmodell: Prozentuale Verteilung Adminaufwand. Dokumentation der Verfahrensschritte in zentralen Einrichtungen enthält reguläre Prozess-/Qualitätsdokumentation; kein belastbarer inkrementeller Anteil.</t>
  </si>
  <si>
    <t>Bei der Eigenkontrolle müssen alle betriebsspezifischen Prozesse der betreffenden Produktbereiche Berücksichtigung finden. Erzeugergruppen müssen interne Audits ihres Qualitätsmanagementsystems (QMS) und ggf. Standorten, an denen Produkte zentral von der Erzeugergruppe aufbereitet, gelagert und abgepackt werden […] durchführen.</t>
  </si>
  <si>
    <t>Programmbestimmungen QZBW 2025, S. 17, Abschnitt 6.1; Grammatik entspricht dem Original</t>
  </si>
  <si>
    <t>Kostenpositionen_korr!42:42</t>
  </si>
  <si>
    <t>QZ-0040</t>
  </si>
  <si>
    <t>Dokumentiertes und aktuelles HACCP-Konzept der zentralen Weinbereitung beziehungsweise Verarbeitung</t>
  </si>
  <si>
    <t>HACCP-Konzept der zentralen Weinbereitung beziehungsweise Verarbeitung dokumentieren und aktuell halten</t>
  </si>
  <si>
    <t>Methode im Ursprungsmodell: Prozentuale Verteilung Adminaufwand. HACCP-Dokumentation auf Zeichennutzer-/Verarbeitungsstufe; fachrechtliche Basisadministration, nicht vollständig zertifizierungsspezifisch.</t>
  </si>
  <si>
    <t>QZ-0041</t>
  </si>
  <si>
    <t>Lizenznehmer; Zeichennutzer nur bei gesonderter Beauftragung; für Wein kein produktspezifischer Prüfplan belegt; Bezugsform: Gruppe</t>
  </si>
  <si>
    <t>Nicht einbezogen - Rückstandsuntersuchungen</t>
  </si>
  <si>
    <t>Kein produktspezifisch vorgeschriebener Rückstandsuntersuchungsplan für Wein, Sekt und Perlwein belegt</t>
  </si>
  <si>
    <t>Rückstandsuntersuchungen nur bei Vorliegen eines gesonderten Prüfplans organisieren und Ergebnisse dokumentieren</t>
  </si>
  <si>
    <t>Abschnitt 6.6 regelt nur die Mitwirkung an produktspezifisch vorgeschriebenen Probenahmen; in Abschnitt 6.9 ist die Spalte Rückstandsuntersuchung für Wein, Sekt und Perlwein leer.</t>
  </si>
  <si>
    <t>Nein - kein belegter QZBW-Zusatzaufwand für Wein</t>
  </si>
  <si>
    <t>nicht vorgegeben</t>
  </si>
  <si>
    <t>Ausgeschlossen - produktspezifischer Prüfplan für Wein nicht belegt</t>
  </si>
  <si>
    <t>Frühere Modellannahme; empirischer und normativer Nachweis für Wein fehlt</t>
  </si>
  <si>
    <t>Ausgangsmodell: 8 Stunden beziehungsweise 240 EUR; Wert wird nicht weiterverwendet</t>
  </si>
  <si>
    <t>Die allgemeine Zuständigkeit des Lizenznehmers für Prüfpläne begründet ohne produktspezifischen Wein-Prüfplan weder eine Untersuchungspflicht noch eine automatische Aufgabenübertragung auf die Erzeugergruppe.</t>
  </si>
  <si>
    <t>Alle Teilnehmer sind deshalb zur Mitwirkung an den jeweils produktspezifischen Probenahmen im vorgeschriebenen Umfang verpflichtet. Die Lizenznehmer sind für die Organisation und Umsetzung der Prüfpläne des Qualitätszeichens Baden-Württemberg verantwortlich.</t>
  </si>
  <si>
    <t>S. 21-24, Abschnitte 6.6 und 6.9, Tabelle Wein, Sekt, Perlwein</t>
  </si>
  <si>
    <t>Entscheidung 2026-07-31: aus der engen Wein-Kostenrechnung und aus dem Sankey entfernt.</t>
  </si>
  <si>
    <t>Ausgeschlossen: kein belastbarer Arbeitszeit- oder Gebührenansatz für Wein</t>
  </si>
  <si>
    <t>Bestätigt – administrativer Anteil berücksichtigt</t>
  </si>
  <si>
    <t>Kostenpositionen_korr!46:46</t>
  </si>
  <si>
    <t>Kostenpositionen_korr!47:47</t>
  </si>
  <si>
    <t>Kostenpositionen_korr!48:48</t>
  </si>
  <si>
    <t>Bestätigt - enger Restblock für Dokumentenablage und -pflege</t>
  </si>
  <si>
    <t>Der 4-Stunden-Modellwert wird ausschließlich als enger Restblock für Dokumentenablage, Aktualitätsprüfung und Versionspflege verwendet. Interne Kontrollen, Korrekturmaßnahmen, Beschwerden, Rückverfolgbarkeit und Auditprotokolle bleiben eigenständige, überschneidungsfreie Kostenblöcke.</t>
  </si>
  <si>
    <t>Kostenpositionen_korr!49:49</t>
  </si>
  <si>
    <t>Kostenpositionen_korr!50:50</t>
  </si>
  <si>
    <t>Ressourcenperspektive: interner Aufwand der Zertifizierungsstelle | Nein - keine berechnete Kontrollgebühr; Aufwand bleibt wegen Effizienzpotenzialen der Datennutzung enthalten</t>
  </si>
  <si>
    <t>Vollständige Kontrollstellenmeldung in der vorgegebenen Excel-Datei</t>
  </si>
  <si>
    <t>Kontrollstellenmeldung in der vorgegebenen Excel-Datei ausfüllen und übermitteln</t>
  </si>
  <si>
    <t>Zertifizierungsstellen sind verpflichtet, die auditierten Betriebe sowie den verantwortlichen Lizenznehmer fortlaufend unverzüglich über alle Prüfergebnisse zu unterrichten.</t>
  </si>
  <si>
    <t>Programmbestimmungen QZBW 2025, S. 39, Abschnitt 12.5. Die Richtlinie verlangt die Meldung der Prüfergebnisse, jedoch nicht wörtlich das Dateiformat Excel.</t>
  </si>
  <si>
    <t>Kostenpositionen_korr!51:51</t>
  </si>
  <si>
    <t>QZ-0048</t>
  </si>
  <si>
    <t>Dokumentierte neutrale Kontrolle des landwirtschaftlichen Betriebs</t>
  </si>
  <si>
    <t>Checkliste zur neutralen Kontrolle des landwirtschaftlichen Betriebs vor Ort ausfüllen</t>
  </si>
  <si>
    <t>Keine Schreibtischtätigkeit: physische Vor-Ort-Kontrolle; dokumentenbasierte Systemverifizierung wird separat erfasst.</t>
  </si>
  <si>
    <t>Ausgeschlossen – Vor-Ort-Kontrolle, keine reine Schreibtischtätigkeit</t>
  </si>
  <si>
    <t>Die Betriebsprüfungen umfassen insbesondere: Kontrolle/Überprüfung des Eigenkontrollsystems und der Dokumentationen.</t>
  </si>
  <si>
    <t>Programmbestimmungen QZBW 2025, S. 18, Abschnitt 6.2.1</t>
  </si>
  <si>
    <t>Die Checkliste zur neutralen Kontrolle umfasst 5 Seiten, davon enthalten 3 Seiten konkrete Prüfpunkte mit mehreren Anforderungen. Bei einer durchschnittlichen Lesegeschwindigkeit von 200 Wörtern pro Minute und der Tatsache, dass auch Bewertungen und kurze Kommentare einzutragen sind, wird der Bearbeitungsaufwand auf ca. 15–20 Minuten geschätzt.
Estimated Total Time (including control activity):
- Small to medium-sized producer (1–2 ha): ca. 60–90 minutes
- Larger producer or more complex structures: ca. 90–120 minutes
Aus der engen Kostenrechnung ausgeschlossen: Vor-Ort-Kontrolle. Die dokumentenbasierte Systemverifizierung und die Kontrollstellenmeldung bleiben als administrative Tätigkeiten enthalten.</t>
  </si>
  <si>
    <t>QZ-0049</t>
  </si>
  <si>
    <t>Dokumentierte Zusatzkontrolle „Ohne Gentechnik“ des landwirtschaftlichen Betriebs</t>
  </si>
  <si>
    <t>Zusatzcheckliste „Ohne Gentechnik“ des landwirtschaftlichen Betriebs vor Ort ausfüllen</t>
  </si>
  <si>
    <t>Methode im Ursprungsmodell: Formularbasierte Zeitschätzung. Zusatzcheckliste Ohne Gentechnik; QZBW-spezifisch.</t>
  </si>
  <si>
    <t>QZBW – Checkliste zur neutralen Kontrolle Landwirtschaftliche Betriebe, Zusatzcheckliste „Ohne Gentechnik“, 2025</t>
  </si>
  <si>
    <t>Checkliste zur neutralen Kontrolle Landwirtschaftliche Betriebe – Zusatzcheckliste „Ohne Gentechnik“ –</t>
  </si>
  <si>
    <t>CL ERZ ZA Zusatzcheckliste Ohne Gentechnik 2025, S. 1 (Dokumenttitel)</t>
  </si>
  <si>
    <t>Die Checkliste umfasst drei Seiten mit komplexen Anforderungen, Bewertungsschemata und Freitextfeldern. Da jede Position bewertet, kommentiert und teilweise auch mit Dokumentation belegt werden muss, ist eine reine Lesegeschwindigkeit nicht ausreichend zur Schätzung. Der geschätzte Zeitaufwand zur vollständigen Bearbeitung einschließlich Prüfung und Ausfüllen beträgt ca. 45–60 Minuten.
Aus der engen Kostenrechnung ausgeschlossen: Vor-Ort-Kontrolle. Die dokumentenbasierte Systemverifizierung und die Kontrollstellenmeldung bleiben als administrative Tätigkeiten enthalten.</t>
  </si>
  <si>
    <t>QZ-0050</t>
  </si>
  <si>
    <t>Dokumentierte neutrale Kontrolle des Zeichennutzers</t>
  </si>
  <si>
    <t>Checkliste zur neutralen Kontrolle des Zeichennutzers während der Vor-Ort-Inspektion ausfüllen</t>
  </si>
  <si>
    <t>Methode im Ursprungsmodell: Formularbasierte Zeitschätzung. QZBW-Kontrollcheckliste für Zeichennutzer; QZBW-spezifisch.</t>
  </si>
  <si>
    <t>Das Formular umfasst ca. 950 Wörter. Für die reine Durchsicht sind ca. 5–6 Minuten notwendig (bei 200 WpM). Da jedoch eine vollständige Vor-Ort-Kontrolle mit Dokumentenprüfung, Betriebsbegehung und Ausfüllen des Formulars stattfindet, ist ein realistischer Zeitaufwand von 60–90 Minuten pro Betrieb anzusetzen – abhängig von Betriebsgröße, Vorbereitung und eventuellen Rückfragen.
Widerspruch Zeitannahme: Modellwert 180 Min.; Quellkommentar nennt ca. 60–90 Min.
Aus der engen Kostenrechnung ausgeschlossen: Vor-Ort-Kontrolle. Die dokumentenbasierte Systemverifizierung und die Kontrollstellenmeldung bleiben als administrative Tätigkeiten enthalten.</t>
  </si>
  <si>
    <t>QZ-0051</t>
  </si>
  <si>
    <t>Dokumentierte Zusatzkontrolle „Ohne Gentechnik“ des Zeichennutzers</t>
  </si>
  <si>
    <t>Zusatzcheckliste „Ohne Gentechnik“ des Zeichennutzers während der Vor-Ort-Inspektion ausfüllen</t>
  </si>
  <si>
    <t>Methode im Ursprungsmodell: Formularbasierte Zeitschätzung. QZBW-Zusatzcheckliste Ohne Gentechnik für Zeichennutzer; QZBW-spezifisch.</t>
  </si>
  <si>
    <t>QZBW – Checkliste zur neutralen Kontrolle Zeichennutzer, Zusatzcheckliste „Ohne Gentechnik“, 2025</t>
  </si>
  <si>
    <t>Checkliste zur neutralen Kontrolle Zeichennutzer – Zusatzcheckliste „Ohne Gentechnik“ –</t>
  </si>
  <si>
    <t>CL ZNK Zusatzcheckliste Ohne Gentechnik 2025, S. 1 (Dokumenttitel)</t>
  </si>
  <si>
    <t>Zeitaufwand geschätzt auf 60–90 Minuten. Enthält Sichtung, Prüfung und Dokumentation zu GVO-Risikoanalyse, Mitarbeiterschulung, Wareneingang, Produktionsprozesse, Lagerung, Dienstleisterregelung und Produktkennzeichnung. Vier Seiten mit insgesamt 25 Kontrollpunkten, viele davon mit KO-Kriterien. Kontrollstelle muss Dokumente prüfen und Maßnahmen ggf. erläutern lassen.
Aus der engen Kostenrechnung ausgeschlossen: Vor-Ort-Kontrolle. Die dokumentenbasierte Systemverifizierung und die Kontrollstellenmeldung bleiben als administrative Tätigkeiten enthalten.</t>
  </si>
  <si>
    <t>Die zugrunde liegende amtliche Qualitätsweinprüfung ist für Qualitätswein bereits fachrechtlich erforderlich; QZBW verlangt den programmspezifischen Qualitätsnachweis beziehungsweise die festgelegte Bewertung.</t>
  </si>
  <si>
    <t>V8-Modellwert – normative Pflicht belegt; Zeitansatz als analoge Schätzung gekennzeichnet</t>
  </si>
  <si>
    <t>Modellannahme; nicht empirisch erhoben</t>
  </si>
  <si>
    <t>Analoge Zeitschätzung anhand vergleichbarer administrativer Tätigkeiten der V7</t>
  </si>
  <si>
    <t>Zertifizierungsspezifische administrative Tätigkeit. Nur Beschaffung, Zuordnung und Bereithaltung des Qualitätsnachweises; keine Prüf- oder Laborkosten.</t>
  </si>
  <si>
    <t>Zeitansatz in einer späteren empirischen Validierung prüfen.</t>
  </si>
  <si>
    <t>Quellenprüfung 2026-07-23; Bezug zur Ausgangszeile Kostenpositionen_korr!12:12</t>
  </si>
  <si>
    <t>Ressourcenperspektive: Arbeitszeit des ausführenden Akteurs | Keine Gebühren oder Zahlungsströme modelliert</t>
  </si>
  <si>
    <t>Ohne QZBW-Gruppenzertifizierung nicht in dieser gruppenspezifischen Form erforderlich.</t>
  </si>
  <si>
    <t>Zertifizierungsspezifische administrative Tätigkeit. Die Pflege des generellen Verfahrens bleibt in der QMS-Dokumentenlenkung; bewertet wird die administrative Aufnahmeentscheidung je Modellvorgang.</t>
  </si>
  <si>
    <t>Zertifizierungsspezifische administrative Tätigkeit. Bewertet wird die administrative Prüfung und Ablage vorhandener Qualifikations- und Begleitnachweise.</t>
  </si>
  <si>
    <t>Zertifizierungsspezifische administrative Tätigkeit. Bewertet werden Planung, Einladung, Teilnehmendenliste und Ablage; die eigentliche Schulungsdauer ist nicht enthalten.</t>
  </si>
  <si>
    <t>Zertifizierungsspezifische administrative Tätigkeit. Planung und Pflege des Auditzeitplans.</t>
  </si>
  <si>
    <t>Zertifizierungsspezifische administrative Tätigkeit. Administrative Zweitprüfung und dokumentierte Freigabe je Modellmitglied.</t>
  </si>
  <si>
    <t>Zertifizierungsspezifische administrative Tätigkeit. Dokumentenbasierter Test anhand eines Warenbeispiels; keine physische Bestandsaufnahme.</t>
  </si>
  <si>
    <t>Ohne QZBW bestünde keine Pflicht, QZBW- und Nicht-QZBW-Ware als Programmware getrennt zu führen.</t>
  </si>
  <si>
    <t>Szenarioannahme korrigiert; QZBW-Zeichennutzerpflicht belegt</t>
  </si>
  <si>
    <t>Modellwert analog zur gleichartigen BioZBW-Tätigkeit; empirischer Status nicht belegt</t>
  </si>
  <si>
    <t>Analog zur BioZBW-Warenflusstrennung; gleicher Zeit- und Stundensatz</t>
  </si>
  <si>
    <t>Direkter QZBW-Beleg; Zahlenwert analog zu BioZBW</t>
  </si>
  <si>
    <t>Die fachlich gleichartige Zeichennutzerpflicht wird für QZBW und BioZBW mit identischem Modellansatz bewertet.</t>
  </si>
  <si>
    <t>Neu ergänzt: in den QZBW-Zusatzanforderungen Wein und der Zeichennutzercheckliste ausdrücklich belegt; Rolle Zeichennutzer, nicht QMS der Erzeugergruppe.</t>
  </si>
  <si>
    <t>Analoge BioZBW-Zeile BIO-0038; Quellenprüfung 2026-08-02</t>
  </si>
  <si>
    <t>Ressourcenperspektive: Arbeitszeit des ausführenden Akteurs | Nein – keine Zahlungsströme oder Gebühren modelliert</t>
  </si>
  <si>
    <t>Die Nachweise bestehen teilweise bereits fachrechtlich; ihre gruppenbezogene Zusammenstellung und Übermittlung ist zusätzlicher Zertifizierungsaufwand.</t>
  </si>
  <si>
    <t>V8-Modellwert – normative Pflicht beziehungsweise notwendiger administrativer Umsetzungsschritt belegt; Zeitansatz als analoge Schätzung gekennzeichnet</t>
  </si>
  <si>
    <t>Nur die zertifizierungsbedingte Bündelung und Übermittlung wird bewertet; die Erstellung fachrechtlicher Basisnachweise bleibt ausgeschlossen.</t>
  </si>
  <si>
    <t>Nur bei im QMS festgestellten Abweichungen erforderlich.</t>
  </si>
  <si>
    <t>Nur administrative Dokumentation und Meldung; die physische Umsetzung selbst wird nicht bewertet.</t>
  </si>
  <si>
    <t>Ohne Gruppenzertifizierung kein externer QMS-Kontrollauftrag in dieser Form.</t>
  </si>
  <si>
    <t>Notwendiger administrativer Umsetzungsschritt; Vertragsgebühren sind nicht enthalten.</t>
  </si>
  <si>
    <t>Gruppenbezogene Zusammenstellung und Übermittlung entsteht erst durch die externe Gruppenkontrolle.</t>
  </si>
  <si>
    <t>Eigenständiger Datenübermittlungsschritt; laufende Dokumentenpflege bleibt in QZ-0045.</t>
  </si>
  <si>
    <t>Nur für die zusätzliche Gruppenzertifizierung erforderlich.</t>
  </si>
  <si>
    <t>Nur administrative Termin- und Unterlagenkoordination; keine Vor-Ort-Kontrollzeit.</t>
  </si>
  <si>
    <t>Erforderlich als Abschluss der Gruppenzertifizierung.</t>
  </si>
  <si>
    <t>Vom Ausfüllen der Kontrollstellenmeldung in QZ-0047 abgegrenzt.</t>
  </si>
  <si>
    <t>Ohne Gruppenzertifizierung kein Gruppenzertifikat.</t>
  </si>
  <si>
    <t>Reiner Empfangs-, Prüf- und Ablageschritt.</t>
  </si>
  <si>
    <t>Die Erzeugergruppe bleibt Zeichennutzerin und benötigt einen externen Lizenznehmer.</t>
  </si>
  <si>
    <t>Erste transparente Modellposition für den bisher fehlenden externen Lizenznehmer; empirisch zu validieren.</t>
  </si>
  <si>
    <t>Bei einzelbetrieblicher EU-Öko-Zertifizierung nicht in dieser zusätzlichen BioZBW- beziehungsweise Gruppenform erforderlich.</t>
  </si>
  <si>
    <t>Für BioZBW wird das dokumentierte QZBW-Gruppenrollenmodell mit den EU-Anforderungen an Unternehmergruppen kombiniert. Die BioZBW-Programmbestimmungen erlauben die Integration der Teilnahmeinhalte in bestehende Verträge mit dem Zeichennutzer.</t>
  </si>
  <si>
    <t>Rollenbeziehung in V8 präzisiert; BioZBW-Gruppenmodell bleibt als systematische Übertragung gekennzeichnet.</t>
  </si>
  <si>
    <t>Quellenprüfung 2026-08-02; Programmbestimmungen 2026</t>
  </si>
  <si>
    <t>BIO-0003</t>
  </si>
  <si>
    <t>Kulturen/Produkte – Jahresproduktion – Anbaufläche (ha)</t>
  </si>
  <si>
    <t>Teilnahmeerklärung Erzeuger BioZBW, S. 1, Tabelle „Pflanzliche Erzeugung“; Formularfelder als wörtlicher Beleg für Jahresproduktion und Fläche</t>
  </si>
  <si>
    <t>BIO-0004</t>
  </si>
  <si>
    <t>BioZBW – Arbeitsanleitung neutrale Kontrolle Zeichennutzer (Kombicheckliste), 2025</t>
  </si>
  <si>
    <t>Quantitativer Abgleich der bezogenen und verkauften BIOZBW-Warenmengen.</t>
  </si>
  <si>
    <t>Arbeitsanleitung neutrale Kontrolle BioZBW-Zeichennutzer 2025, S. 5, Abschnitt 3.3</t>
  </si>
  <si>
    <t>BIO-0005</t>
  </si>
  <si>
    <t>Teilnahmeerklärung Erzeuger BioZBW, S. 1, Tabelle „Pflanzliche Erzeugung“</t>
  </si>
  <si>
    <t>BIO-0006</t>
  </si>
  <si>
    <t>Programmbestimmungen BioZBW 2025, S. 14, Abschnitt 6.1</t>
  </si>
  <si>
    <t>BIO-0007</t>
  </si>
  <si>
    <t>Nachvollziehbare Trennung der Warenflüsse zwischen BioZBW- und Nicht-BioZBW-Produkten auf Betriebsebene</t>
  </si>
  <si>
    <t>Warenflüsse zwischen BioZBW- und Nicht-BioZBW-Produkten trennen und nachvollziehbar dokumentieren</t>
  </si>
  <si>
    <t>Bei einer bereits EU-ökologisch zertifizierten Weinwertschöpfungskette gehört die Trennung ökologischer und nichtökologischer Warenflüsse zur Baseline; die verwendete BioZBW-Quelle richtet sich zudem an Zeichennutzer.</t>
  </si>
  <si>
    <t>Ausgeschlossen – falsche Akteurszuordnung und EU-Öko-Baseline</t>
  </si>
  <si>
    <t>Normative Prüfung; bisheriger Zeitansatz nicht weiterverwendet</t>
  </si>
  <si>
    <t>Quellen- und Rollenprüfung V8</t>
  </si>
  <si>
    <t>Die BioZBW-spezifische Warenflusstrennung bleibt auf Ebene der Genossenschaft als Zeichennutzerin in BIO-0038 enthalten.</t>
  </si>
  <si>
    <t>BioZBW – Checkliste Eigenkontrolle Zeichennutzer, Version 2024</t>
  </si>
  <si>
    <t>Nicht-BioZBW-Ware im gesamten Betriebsablauf von BioZBW-Ware nachvollziehbar getrennt geführt.</t>
  </si>
  <si>
    <t>Checkliste Eigenkontrolle BioZBW-Zeichennutzer 2024, S. 1, Abschnitt 1.5</t>
  </si>
  <si>
    <t>Nicht in der engen Kostenrechnung; keine separate Erzeugerposition.</t>
  </si>
  <si>
    <t>BIO-0008</t>
  </si>
  <si>
    <t>BioZBW-Waren auf Warenbegleitdokumenten und weiteren Dokumenten zur Rückverfolgbarkeit mit Art, Menge und Zusatz „BioZBW“ gekennzeichnet.</t>
  </si>
  <si>
    <t>Checkliste Eigenkontrolle BioZBW-Zeichennutzer 2024, S. 2, Abschnitt 1.5</t>
  </si>
  <si>
    <t>BIO-0009</t>
  </si>
  <si>
    <t>Programmbestimmungen BioZBW 2025, S. 22, Abschnitt 9.1</t>
  </si>
  <si>
    <t>BIO-0010</t>
  </si>
  <si>
    <t>Neben den innerbetrieblichen Überprüfungen von Risikobereichen beinhaltet die Eigenkontrolle insbesondere eine Aufzeichnungspflicht über den Zukauf und die Verwendung von Betriebsmitteln.</t>
  </si>
  <si>
    <t>Programmbestimmungen BioZBW 2025, S. 14, Abschnitt 6.1; Pflanzenschutzmittel werden in dieser Fundstelle nicht gesondert benannt</t>
  </si>
  <si>
    <t>BIO-0011</t>
  </si>
  <si>
    <t>BIO-0012</t>
  </si>
  <si>
    <t>Unternehmergruppe/Erzeugergemeinschaft mit QMS; BioZBW-Zeichennutzer; separater BioZBW-Lizenznehmer bleibt erforderlich; Bezugsform: Gruppe</t>
  </si>
  <si>
    <t>Alle Wareneingänge von BIOZBW-Zutaten werden überwacht.</t>
  </si>
  <si>
    <t>Arbeitsanleitung neutrale Kontrolle BioZBW-Zeichennutzer 2025, S. 16, Abschnitt 11.3</t>
  </si>
  <si>
    <t>Bestätigt – funktionale Übertragung auf BioZBW beschlossen</t>
  </si>
  <si>
    <t>Analogübertragung QZBW → BioZBW; Zahlenwert unverändert aus Ausgangsmodell</t>
  </si>
  <si>
    <t>In Abstimmung bestätigt</t>
  </si>
  <si>
    <t>Die bisherige Excel-Meldedatei wird als Pflege des Gruppenmitgliederverzeichnisses und als jährliche Meldung der vorliegenden Teilnahmeerklärungen verstanden. Dadurch wird § 11.3 abgebildet, ohne einen zweiten, inhaltlich überlappenden Kostenposten zu erzeugen.</t>
  </si>
  <si>
    <t>Jährliche Meldung in bestehende Position integriert; keine Doppelzählung.</t>
  </si>
  <si>
    <t>Bestätigt – zeichennutzerspezifische Eigenkontrolle</t>
  </si>
  <si>
    <t>Modellwert aus Ausgangsdatei; Jahresfrequenz ist eine transparente Modellannahme</t>
  </si>
  <si>
    <t>Direkter BioZBW-Beleg für betriebliche Eigenprüfungen; Zahlenwert unverändert</t>
  </si>
  <si>
    <t>Direkter BioZBW-Beleg; Jahresfrequenz als Modellannahme</t>
  </si>
  <si>
    <t>Die Pflicht war bereits in V8 monetarisiert. V9 ergänzt die vorrangige allgemeine Programmquelle 2026 und ordnet die Checkliste eindeutig der Genossenschaft in ihrer Rolle als Zeichennutzerin zu.</t>
  </si>
  <si>
    <t>Keine neue Kostenposition; bereits vorhandener Aufwand mit vollständiger Quelle belegt.</t>
  </si>
  <si>
    <t>Vollständig dokumentierte interne QMS-Kontrolle des Gruppenmitglieds einschließlich Prüfergebnis und Freigabe</t>
  </si>
  <si>
    <t>Interne QMS-Kontrolle des Gruppenmitglieds anhand der betrieblichen Nachweise durchführen, Prüfergebnis dokumentieren und Mitglied freigeben</t>
  </si>
  <si>
    <t>Die EU-Vorschriften verlangen die interne Inspektion jedes Mitglieds durch das QMS. Eine eigenständige BioZBW-Eigenkontrollcheckliste des Erzeugers wurde nicht gefunden.</t>
  </si>
  <si>
    <t>Bezeichnung in V8 korrigiert; keine zusätzliche Erzeuger-Eigenkontrollposition aufgenommen.</t>
  </si>
  <si>
    <t>BIO-0030</t>
  </si>
  <si>
    <t>In Abstimmung geprüft und ausgeschlossen</t>
  </si>
  <si>
    <t>Keine unmittelbare BioZBW-Quelle belegt</t>
  </si>
  <si>
    <t>Keine normative BioZBW-Fundstelle für diese übertragene Detailanforderung belegt.</t>
  </si>
  <si>
    <t>QZBW-Vorbild ausschließlich unter Zahlenherkunft/Übertragungsstatus dokumentiert.</t>
  </si>
  <si>
    <t>BIO-0031</t>
  </si>
  <si>
    <t>BIO-0032</t>
  </si>
  <si>
    <t>BIO-0033</t>
  </si>
  <si>
    <t>BIO-0034</t>
  </si>
  <si>
    <t>BIO-0035</t>
  </si>
  <si>
    <t>BIO-0036</t>
  </si>
  <si>
    <t>BIO-0037</t>
  </si>
  <si>
    <t>BioZBW – Zusatzanforderungen pflanzliche Produkte 2024; Verordnung (EG) Nr. 852/2004</t>
  </si>
  <si>
    <t>BioZBW ZA Pflanzlich 2024, S. 8, Abschnitt Hygiene; Art. 5 der VO (EG) 852/2004: https://eur-lex.europa.eu/legal-content/DE/ALL/?uri=CELEX%3A02004R0852-20210324</t>
  </si>
  <si>
    <t>Umfasst die programmspezifische Trennung und dokumentierte Kennzeichnung der Warenflüsse einschließlich der hierfür erforderlichen Warenbegleitinformationen; keine zusätzliche Parallelposition.</t>
  </si>
  <si>
    <t>Ausgangsmodell - Zeitwert übernommen; Anforderung direkt durch EU-Gruppenrecht belegt</t>
  </si>
  <si>
    <t>Direkte EU-Grundlage; keine QZBW-Übertragung erforderlich</t>
  </si>
  <si>
    <t>Der 4-Stunden-Modellwert wird ausschließlich als enger Restblock für Ablage, Aktualitätsprüfung und Versionspflege verwendet. Die übrigen QMS-Aufgaben werden entweder als eigene Kostenblöcke oder als noch nicht monetarisierte Anforderungen ausgewiesen.</t>
  </si>
  <si>
    <t>vierteljährlich; 240 Min. als Gesamtmodellwert je Jahr</t>
  </si>
  <si>
    <t>Die bisher allgemein bezeichnete Kontrollstellenmeldung wird mit der konkreten Informationspflicht aus § 11.5 verknüpft. Sofortmeldungen bei schweren Abweichungen sind in demselben Meldeprozess enthalten und werden nicht doppelt kalkuliert.</t>
  </si>
  <si>
    <t>Bestehende Position inhaltlich präzisiert; keine zusätzliche Doppelzählung.</t>
  </si>
  <si>
    <t>BIO-0045</t>
  </si>
  <si>
    <t>Erneute Kontrolle einer Stichprobe von Mitgliedern</t>
  </si>
  <si>
    <t>Art. 7; https://eur-lex.europa.eu/eli/reg/2018/848/oj?locale=de; https://eur-lex.europa.eu/legal-content/DE/ALL/?uri=CELEX%3A32021R0279</t>
  </si>
  <si>
    <t>BIO-0046</t>
  </si>
  <si>
    <t>Vollständig dokumentierte kombinierte neutrale Kontrolle</t>
  </si>
  <si>
    <t>Kombicheckliste während der neutralen Vor-Ort-Kontrolle ausfüllen</t>
  </si>
  <si>
    <t>Methode im Ursprungsmodell: Formularbasierte Zeitschätzung. BioZBW-Kontrollcheckliste; BioZBW-spezifisch.</t>
  </si>
  <si>
    <t>BioZBW – Checkliste zur neutralen Kontrolle Zeichennutzer, Kombicheckliste Zusatzanforderungen, 2025</t>
  </si>
  <si>
    <t>Checkliste zur neutralen Kontrolle Zeichennutzer – Kombicheckliste Zusatzanforderungen –</t>
  </si>
  <si>
    <t>CL ZA ZN Bio Kombicheckliste 2025, S. 1 (Dokumenttitel)</t>
  </si>
  <si>
    <t>Aus der engen Kostenrechnung ausgeschlossen: Vor-Ort-Kontrolle. Die dokumentenbasierte Systemverifizierung und die Kontrollstellenmeldung bleiben als administrative Tätigkeiten enthalten.</t>
  </si>
  <si>
    <t>Bei einzelbetrieblicher EU-Öko-Zertifizierung nicht in dieser gruppenspezifischen QMS-Form erforderlich.</t>
  </si>
  <si>
    <t>Direkte EU-Grundlage</t>
  </si>
  <si>
    <t>Zertifizierungsspezifische administrative Tätigkeit. Aktualisierung von Status und Versionsstand; die umfassende Ersterfassung bleibt in BIO-0016.</t>
  </si>
  <si>
    <t>Zertifizierungsspezifische administrative Tätigkeit. Administrative Ernennung sowie Prüfung und Ablage der Interessenkonflikt- und Qualifikationsnachweise.</t>
  </si>
  <si>
    <t>Zertifizierungsspezifische administrative Tätigkeit. Bewertet werden Planung und Schulungsnachweise; die eigentliche Schulungsdauer ist nicht enthalten.</t>
  </si>
  <si>
    <t>Zertifizierungsspezifische administrative Tätigkeit. Planung und Pflege des Inspektionsplans.</t>
  </si>
  <si>
    <t>Zertifizierungsspezifische administrative Tätigkeit. Administrative Zulassungsprüfung je Modellvorgang.</t>
  </si>
  <si>
    <t>Zertifizierungsspezifische administrative Tätigkeit. Administrative Meldung je modelliertem Ereignis.</t>
  </si>
  <si>
    <t>Die Nachweise bestehen überwiegend bereits aufgrund der EU-Öko-Zertifizierung; ihre gruppenbezogene Bereitstellung ist zusätzlicher Aufwand.</t>
  </si>
  <si>
    <t>Nur die gruppenbezogene Bündelung und Übermittlung; keine erneute Monetarisierung der EU-Öko-Basisdokumentation.</t>
  </si>
  <si>
    <t>Nur bei im QMS festgestellten Nichtkonformitäten erforderlich.</t>
  </si>
  <si>
    <t>Nur administrative Dokumentation und Meldung; physische Umsetzung ausgeschlossen.</t>
  </si>
  <si>
    <t>Zusätzlicher gruppenbezogener Kontrollauftrag.</t>
  </si>
  <si>
    <t>Direkte EU-Grundlage; Vertragsschritt als notwendige Umsetzung abgeleitet</t>
  </si>
  <si>
    <t>Keine Kontrollgebühren enthalten.</t>
  </si>
  <si>
    <t>Gruppenbezogene Zusammenstellung entsteht erst durch die externe Gruppenkontrolle.</t>
  </si>
  <si>
    <t>Eigenständiger Datenübermittlungsschritt; laufende QMS-Pflege bleibt in BIO-0042.</t>
  </si>
  <si>
    <t>Nur für die zusätzliche Unternehmergruppenkontrolle erforderlich.</t>
  </si>
  <si>
    <t>Von der Kontrollstellenmeldung in BIO-0044 abgegrenzt.</t>
  </si>
  <si>
    <t>Die Genossenschaft wird als Unternehmergruppe und Zeichennutzerin modelliert; für die Zeichennutzung bleibt ein externer Lizenznehmer erforderlich.</t>
  </si>
  <si>
    <t>BioZBW-Programmanforderung auf Ebene der Genossenschaft als Zeichennutzerin</t>
  </si>
  <si>
    <t>Eine programmspezifische Produktaufstellung mit BioZBW-Kennzeichnungsstatus ist zusätzlich zur regulären Warenwirtschaft vorzuhalten.</t>
  </si>
  <si>
    <t>V9-Modellwert – normative Pflicht belegt; Zeitansatz als analoge Schätzung gekennzeichnet</t>
  </si>
  <si>
    <t>Analoge Zeitschätzung anhand vergleichbarer administrativer Tätigkeiten</t>
  </si>
  <si>
    <t>30 Minuten je Modelljahr als transparente Schätzung für Aktualisierung, Plausibilitätsprüfung und Bereitstellung; Produktentwicklung und reguläre Warenwirtschaft sind nicht enthalten.</t>
  </si>
  <si>
    <t>Vollständigkeitsprüfung BioZBW-Programmbestimmungen 2026 am 2026-08-02</t>
  </si>
  <si>
    <t>Die physische, analytische und sensorische Prüfung ist ausgeschlossen; zusätzlich bewertet wird nur ihre programmspezifische administrative Veranlassung und Nachweisführung.</t>
  </si>
  <si>
    <t>Analog zum QZBW-Qualitätsnachweis mit 30 Minuten angesetzt. Prüf-, Labor-, Probenahme- und Versandkosten bleiben außerhalb der administrativen Ressourcenperspektive.</t>
  </si>
  <si>
    <t>Jährliche zusammenfassende Meldung der angeschlossenen Erzeuger und Zeichennutzer an die MBW</t>
  </si>
  <si>
    <t>Jahresmeldung der angeschlossenen Erzeuger und Zeichennutzer erstellen und an die MBW übermitteln</t>
  </si>
  <si>
    <t>Die BioZBW-spezifische Meldung an die MBW entsteht zusätzlich zur Vertragsaufnahme der Genossenschaft.</t>
  </si>
  <si>
    <t>jährlich zum 31. Dezember</t>
  </si>
  <si>
    <t>60 Minuten als analoge Schätzung für Zusammenstellung, Trennung nach Produktbereichen, Prüfung und Übermittlung. Unverzügliche Änderungsmeldungen werden in diesem Meldeprozess mitgeführt.</t>
  </si>
  <si>
    <t>Lizenznehmer sind verpflichtet, jährlich zum 31. Dezember eine zusammenfassende Meldung über die angeschlossenen Erzeuger und Zeichennutzer bei der MBW […] abzugeben.</t>
  </si>
  <si>
    <t>S. 27–28, Abschnitt 11.4</t>
  </si>
  <si>
    <t>BIO-0064</t>
  </si>
  <si>
    <t>Schriftliche Vereinbarung und Kontrollstellennachricht bei ausgelagerter Lohnverarbeitung</t>
  </si>
  <si>
    <t>Lohnverarbeitungsvereinbarung abschließen und Zertifizierungsstelle informieren</t>
  </si>
  <si>
    <t>Nur erforderlich, wenn Verarbeitungsschritte an ein Lohnunternehmen ausgelagert werden; das Basisszenario unterstellt eine Verarbeitung in der Genossenschaft.</t>
  </si>
  <si>
    <t>Ja – bedingt</t>
  </si>
  <si>
    <t>bei Beauftragung eines Dienstleisters</t>
  </si>
  <si>
    <t>V9-Modellwert – normative, aber im Basisszenario nicht ausgelöste Pflicht</t>
  </si>
  <si>
    <t>Bedingte Anforderung; kein Standardfall im Basisszenario</t>
  </si>
  <si>
    <t>Keine Monetarisierung ohne konkreten Auslöser</t>
  </si>
  <si>
    <t>Bedingte Anforderung bleibt in der Vollständigkeitsliste sichtbar; keine Kosten ohne ausgelagerte Verarbeitung.</t>
  </si>
  <si>
    <t>Der Zeichennutzer schließt mit dem Auftragnehmer (Lohnunternehmen) eine schriftliche Vereinbarung ab […] Die Zertifizierungsstelle des Auftraggebers muss über abgeschlossene Vereinbarungen […] unverzüglich […] in Kenntnis gesetzt werden.</t>
  </si>
  <si>
    <t>S. 23–24, Abschnitt 9.3</t>
  </si>
  <si>
    <t>Bei Eintritt des Auslösers separat kalkulieren.</t>
  </si>
  <si>
    <t>BIO-0065</t>
  </si>
  <si>
    <t>Auskunft über Produktion sowie unverzügliche Meldung von Stammdatenänderungen</t>
  </si>
  <si>
    <t>Produktionsauskunft erteilen und Stammdatenänderungen an den Lizenznehmer melden</t>
  </si>
  <si>
    <t>Nur auf Anfrage oder bei einer tatsächlichen Änderung erforderlich; im standardisierten Jahresfall ist kein Ereignis unterstellt.</t>
  </si>
  <si>
    <t>auf Anfrage beziehungsweise bei Änderung</t>
  </si>
  <si>
    <t>Im Vollkatalog enthalten; erst bei einem beobachteten Ereignis separat zu monetarisieren.</t>
  </si>
  <si>
    <t>Erzeuger und Zeichennutzer sind verpflichtet […] auf Anfrage detaillierte Auskunft über Art und ggf. Umfang ihrer Produktion zu geben. Bei einer Änderung der Stammdaten […] muss die Meldung an den Lizenznehmer unverzüglich erfolgen.</t>
  </si>
  <si>
    <t>jährlich; gruppenfix, anteilig je Mitglied (n=150)</t>
  </si>
  <si>
    <t>Prüfergebnisse dokumentieren, an auditierten Betrieb und Lizenznehmer übermitteln sowie Quartalsbericht an die MBW erstellen</t>
  </si>
  <si>
    <t>Prüfbericht beziehungsweise Auditprotokoll je Audit und zusammenfassender elektronischer Quartalsbericht</t>
  </si>
  <si>
    <t>fortlaufend und vierteljährlich; 240 Min. als Gesamtmodellwert je Jahr; gruppenfix, anteilig je Mitglied (n=150)</t>
  </si>
  <si>
    <t>QZBW – Programmbestimmungen, Stand 01.01.2026</t>
  </si>
  <si>
    <t>S. 40, Abschnitt 12.5</t>
  </si>
  <si>
    <t>Über die Zertifizierungstätigkeit ist regelmäßig zum Quartalsende ein zusammenfassender Bericht zu erstellen.</t>
  </si>
  <si>
    <t>QZ-0068</t>
  </si>
  <si>
    <t>Externe Kontrolle; Bezugsform: Zeichennutzer</t>
  </si>
  <si>
    <t>Kontrollvorbereitung</t>
  </si>
  <si>
    <t>Jährliche Zeichennutzerkontrolle terminieren und programmspezifische Unterlagen anfordern</t>
  </si>
  <si>
    <t>Abgestimmter Termin und vollständiges Kontrollpaket der Genossenschaft als Zeichennutzerin</t>
  </si>
  <si>
    <t>S. 24, Abschnitt 6.9; S. 39, Abschnitt 12.3; Zeitansatz siehe ANN-046</t>
  </si>
  <si>
    <t>Winzergenossenschaft, Kellerei: 100 %.</t>
  </si>
  <si>
    <t>QZ-0069</t>
  </si>
  <si>
    <t>Dokumentenprüfung und Kontrolldokumentation</t>
  </si>
  <si>
    <t>Eigenkontrollsystem, Produkt- und Qualitätsnachweise, Waren- und Herkunftsdokumentation, Rückverfolgbarkeit und Kennzeichnung prüfen und Kontrollcheckliste vervollständigen</t>
  </si>
  <si>
    <t>Dokumentierte jährliche Zeichennutzerkontrolle mit bewerteten Prüfpunkten und nachvollziehbarem Ergebnis</t>
  </si>
  <si>
    <t>S. 18, Abschnitt 6.2.1; S. 39, Abschnitt 12.3; Zeitansatz siehe ANN-047</t>
  </si>
  <si>
    <t>Kontrolle/Überprüfung des Eigenkontrollsystems und der Dokumentationen.</t>
  </si>
  <si>
    <t>QZ-0070</t>
  </si>
  <si>
    <t>Externe Kontrolle; Bezugsform: Mitgliederstichprobe</t>
  </si>
  <si>
    <t>Stichprobenplanung</t>
  </si>
  <si>
    <t>Risikobasierte Mitgliederstichprobe auswählen und jährlichen Kontrollplan dokumentieren</t>
  </si>
  <si>
    <t>Nachvollziehbar ausgewählte Stichprobe von 13 Mitgliedern und dokumentierter Kontrollplan</t>
  </si>
  <si>
    <t>S. 19–20, Abschnitt 6.3; Zeitansatz siehe ANN-043</t>
  </si>
  <si>
    <t>Der Mindestumfang der Stichprobe ist die Quadratwurzel der Zahl der Mitglieder.</t>
  </si>
  <si>
    <t>QZ-0071</t>
  </si>
  <si>
    <t>Administrative Kontrollvorbereitung</t>
  </si>
  <si>
    <t>Termin und Unterlagen je ausgewähltem Mitglied koordinieren und Kontrollakte vorbereiten</t>
  </si>
  <si>
    <t>Vorbereitete Kontrollakten für 13 externe Mitgliederkontrollen</t>
  </si>
  <si>
    <t>jährlich; 13 Stichproben je Gruppe, anteilig je Mitglied (n=150)</t>
  </si>
  <si>
    <t>S. 19–20, Abschnitt 6.3; Zeitansatz siehe ANN-044</t>
  </si>
  <si>
    <t>Die Auswahl soll frühere Kontrollergebnisse und mögliche Beschwerden berücksichtigen.</t>
  </si>
  <si>
    <t>QZ-0072</t>
  </si>
  <si>
    <t>Administrative Kontrollnachbereitung</t>
  </si>
  <si>
    <t>Kontrollcheckliste je Stichprobenmitglied abschließen, Ergebnis und gegebenenfalls Abweichungen dokumentieren und Kontrollakte schließen</t>
  </si>
  <si>
    <t>Vollständige administrative Abschlussdokumentation für 13 externe Mitgliederkontrollen</t>
  </si>
  <si>
    <t>S. 40, Abschnitt 12.5; Zeitansatz siehe ANN-045</t>
  </si>
  <si>
    <t>Die auditierten Betriebe sind unverzüglich über alle Prüfergebnisse zu unterrichten.</t>
  </si>
  <si>
    <t>QZ-0073</t>
  </si>
  <si>
    <t>Laufende teilnehmerbezogene Lizenznehmerverwaltung</t>
  </si>
  <si>
    <t>Programm- und Vertragsüberwachung</t>
  </si>
  <si>
    <t>Programminhalte und vertragliche Verpflichtungen der angeschlossenen Teilnehmer laufend überwachen</t>
  </si>
  <si>
    <t>Nachvollziehbar überwachter Teilnehmerstatus und dokumentierte Einhaltung der programmspezifischen und vertraglichen Pflichten</t>
  </si>
  <si>
    <t>jährlich; teilnehmerbezogen</t>
  </si>
  <si>
    <t>S. 8, Abschnitt 3.2; Zeitansatz siehe ANN-050</t>
  </si>
  <si>
    <t>Sie gewährleisten die ordnungsgemäße Umsetzung und Überwachung der Programminhalte bei den ihnen vertraglich angeschlossenen Erzeugern und Zeichennutzern.</t>
  </si>
  <si>
    <t>QZ-0074</t>
  </si>
  <si>
    <t>Kontrollorganisation und -überwachung</t>
  </si>
  <si>
    <t>Vorgesehene Kontrollen veranlassen und deren Durchführung administrativ überwachen</t>
  </si>
  <si>
    <t>Beauftragte und statusseitig nachverfolgte Kontrollen bei angeschlossenen Erzeugern und Zeichennutzern</t>
  </si>
  <si>
    <t>S. 22, Abschnitte 6.7–6.8; Zeitansatz siehe ANN-051</t>
  </si>
  <si>
    <t>Hierbei werden insbesondere die Lizenznehmer regelmäßig dahingehend überprüft, ob sie ihren vertraglichen Pflichten zur Veranlassung und Überwachung von Kontrollen […] nachkommen.</t>
  </si>
  <si>
    <t>QZ-0075</t>
  </si>
  <si>
    <t>Prüfergebnis- und Maßnahmenmanagement</t>
  </si>
  <si>
    <t>Prüfergebnisse zuordnen, Teilnehmerstatus aktualisieren und gewöhnliche Korrekturhinweise nachverfolgen</t>
  </si>
  <si>
    <t>Vollständig zugeordnete Prüfberichte und nachvollziehbar nachgehaltene Standardabweichungen beziehungsweise Korrekturhinweise</t>
  </si>
  <si>
    <t>S. 40, Abschnitt 12.5; Zeitansatz siehe ANN-052</t>
  </si>
  <si>
    <t>Zertifizierungsstellen sind verpflichtet, […] den verantwortlichen Lizenznehmer fortlaufend unverzüglich über alle Prüfergebnisse zu unterrichten.</t>
  </si>
  <si>
    <t>QZ-0076</t>
  </si>
  <si>
    <t>Teilnehmer- und Stammdatenmanagement</t>
  </si>
  <si>
    <t>Neuanmeldungen und Stammdatenänderungen verwalten und unverzüglich an die MBW melden</t>
  </si>
  <si>
    <t>Aktuelle Teilnehmer- und Stammdaten sowie zeitnah an die MBW übermittelte Neu- und Änderungsmeldungen</t>
  </si>
  <si>
    <t>S. 39, Abschnitt 12.4; Zeitansatz siehe ANN-053</t>
  </si>
  <si>
    <t>Bei Neuanmeldungen oder Änderungen der Stammdaten von Erzeugern oder Zeichennutzern muss der Lizenznehmer die MBW unverzüglich informieren.</t>
  </si>
  <si>
    <t>QZ-0077</t>
  </si>
  <si>
    <t>Jährliche Teilnehmermeldung</t>
  </si>
  <si>
    <t>Jahresmeldung der angeschlossenen Erzeuger und Zeichennutzer erstellen, plausibilisieren und an die MBW übermitteln</t>
  </si>
  <si>
    <t>Jährliche zusammenfassende, nach Produktbereichen getrennte Meldung der angeschlossenen Erzeuger und Zeichennutzer an die MBW</t>
  </si>
  <si>
    <t>S. 39, Abschnitt 12.4; Zeitansatz siehe ANN-054</t>
  </si>
  <si>
    <t>QZ-0078</t>
  </si>
  <si>
    <t>Anlassbezogene Lizenznehmermaßnahmen außerhalb des Standardjahres</t>
  </si>
  <si>
    <t>Sanktionierung und Ausschluss</t>
  </si>
  <si>
    <t>Schwere Verstöße bewerten und erforderliche Sanktionierung beziehungsweise Ausschluss veranlassen und dokumentieren</t>
  </si>
  <si>
    <t>Dokumentierte, verhältnismäßige Sanktions- oder Ausschlussentscheidung einschließlich erforderlicher Abstimmungen</t>
  </si>
  <si>
    <t>bei Bedarf; im Basisszenario nicht angesetzt</t>
  </si>
  <si>
    <t>S. 8, 22 und 40, Abschnitte 3.2, 6.7 und 12.5; Abgrenzung siehe ANN-055</t>
  </si>
  <si>
    <t>Die Lizenznehmer sind darüber hinaus für die Sanktionierung und den Ausschluss von Erzeugern und Zeichennutzern bei schwerwiegenden Verfehlungen verantwortlich.</t>
  </si>
  <si>
    <t>Eigenkontrollcheckliste und betriebliche Nachweise des Gruppenmitglieds prüfen, Prüfergebnis dokumentieren und Mitglied freigeben</t>
  </si>
  <si>
    <t>Geprüfte Eigenkontrollcheckliste und betriebliche Nachweise mit dokumentiertem Prüfergebnis und Freigabestatus</t>
  </si>
  <si>
    <t>vierteljährlich; 240 Min. als Gesamtmodellwert je Jahr; gruppenfix, anteilig je Mitglied (n=150)</t>
  </si>
  <si>
    <t>S. 27–28, Abschnitt 11.4; Zeitansatz siehe ANN-054</t>
  </si>
  <si>
    <t>Eigenkontrollcheckliste des landwirtschaftlichen Betriebs ausfüllen und ablegen</t>
  </si>
  <si>
    <t>Vollständig ausgefüllte BioZBW-Eigenkontrollcheckliste des landwirtschaftlichen Betriebs</t>
  </si>
  <si>
    <t>jährlich (fachlich gesetzte Modellannahme)</t>
  </si>
  <si>
    <t>Fachlich gesetzte Modellannahme der Studienleitung; nicht als eigenständige Pflicht in den ausgewerteten BioZBW-Dokumenten belegt</t>
  </si>
  <si>
    <t>Modellannahme vom 05.08.2026</t>
  </si>
  <si>
    <t>Kein wörtliches Quellenzitat; die Pflicht zur Eigenkontrollcheckliste des Traubenerzeugers wurde für die Kostenmodellierung fachlich gesetzt.</t>
  </si>
  <si>
    <t>S. 17, Abschnitt 6.8; S. 27, Abschnitt 11.3; Zeitansatz siehe ANN-046</t>
  </si>
  <si>
    <t>Erfassung, Handel, Verarbeitung (Zeichennutzer): 100 %.</t>
  </si>
  <si>
    <t>BIO-0066</t>
  </si>
  <si>
    <t>BioZBW – Programmbestimmungen, Stand 01.01.2026; BioZBW-Kombicheckliste 2025</t>
  </si>
  <si>
    <t>Programmbestimmungen S. 14–15, Abschnitt 6.2.1; Kombicheckliste S. 2–6; Zeitansatz siehe ANN-047</t>
  </si>
  <si>
    <t>Kontrolle/Überprüfung des Eigenkontrollsystems bzw. der Dokumentationen.</t>
  </si>
  <si>
    <t>BIO-0067</t>
  </si>
  <si>
    <t>Nachvollziehbar ausgewählte Stichprobe von 15 Mitgliedern und dokumentierter Kontrollplan</t>
  </si>
  <si>
    <t>S. 17, Abschnitt 6.8; Zeitansatz siehe ANN-043</t>
  </si>
  <si>
    <t>Landwirtschaftliche Erzeuger pflanzlicher Produkte: mindestens 10 % jährlich.</t>
  </si>
  <si>
    <t>BIO-0068</t>
  </si>
  <si>
    <t>Vorbereitete Kontrollakten für 15 programmspezifische Mitgliederkontrollen</t>
  </si>
  <si>
    <t>jährlich; 15 Stichproben je Gruppe, anteilig je Mitglied (n=150)</t>
  </si>
  <si>
    <t>S. 17, Abschnitt 6.8; Zeitansatz siehe ANN-044</t>
  </si>
  <si>
    <t>BIO-0069</t>
  </si>
  <si>
    <t>Vollständige administrative Abschlussdokumentation für 15 programmspezifische Mitgliederkontrollen</t>
  </si>
  <si>
    <t>S. 17 und 28, Abschnitte 6.8 und 11.5; Zeitansatz siehe ANN-045</t>
  </si>
  <si>
    <t>BIO-0070</t>
  </si>
  <si>
    <t>S. 7–8, Abschnitt 3.2; Zeitansatz siehe ANN-050</t>
  </si>
  <si>
    <t>BIO-0071</t>
  </si>
  <si>
    <t>S. 17–18, Abschnitte 6.7 und 7.1; Zeitansatz siehe ANN-051</t>
  </si>
  <si>
    <t>BIO-0072</t>
  </si>
  <si>
    <t>S. 28, Abschnitt 11.5; Zeitansatz siehe ANN-052</t>
  </si>
  <si>
    <t>BIO-0073</t>
  </si>
  <si>
    <t>S. 27–28, Abschnitt 11.4; Zeitansatz siehe ANN-053</t>
  </si>
  <si>
    <t>BIO-0074</t>
  </si>
  <si>
    <t>S. 20–21 und 28, Abschnitte 8 und 11.5; Abgrenzung siehe ANN-055</t>
  </si>
  <si>
    <t>Bei vorsätzlichem oder nach schriftlicher Ermahnung fortgesetztem Verstoß […] ist der Lizenznehmer verpflichtet, […] Maßnahmen für einen vorübergehenden oder dauerhaften Ausschluss […] zu treffen.</t>
  </si>
  <si>
    <t>Ergänzte Prozesskategorien aus den Prüfschritten 2 und 3</t>
  </si>
  <si>
    <t>Summe ergänzte Prozesskategorien</t>
  </si>
  <si>
    <t>Gesamt aller Prozesskategorien</t>
  </si>
  <si>
    <t>Die laufende Lizenznehmerverwaltung wird für QZBW und BioZBW symmetrisch mit insgesamt 60 Minuten beziehungsweise 30,00 EUR je Mitglied und Jahr angesetzt. Die einmalige Vertragsprüfung bleibt separat; seltene Sanktionierungs- und Ausschlussfälle sind dokumentiert, aber im Standardjahr nicht monetarisiert.</t>
  </si>
  <si>
    <t>ANN-040</t>
  </si>
  <si>
    <t>Referenzgruppengröße für gruppenfixe Kontrollstellenkosten</t>
  </si>
  <si>
    <t>aktive Mitglieder je Gruppe</t>
  </si>
  <si>
    <t>QZBW und BioZBW</t>
  </si>
  <si>
    <t>Gruppenfixe Kontrollstellentätigkeiten werden anteilig einem Mitglied zugerechnet (1/150).</t>
  </si>
  <si>
    <t>Festgelegtes Referenzszenario der Kostenanalyse, 21.08.2026</t>
  </si>
  <si>
    <t>Referenzannahme; Abhängigkeit von der Gruppengröße in diesem Schritt noch nicht als Sensitivität modelliert</t>
  </si>
  <si>
    <t>ANN-041</t>
  </si>
  <si>
    <t>QZBW-Stichprobenumfang der externen Mitgliederkontrolle</t>
  </si>
  <si>
    <t>Mitgliederkontrollen je Gruppe und Jahr</t>
  </si>
  <si>
    <t>Standardfall: aufgerundete Quadratwurzel der 150 Gruppenmitglieder.</t>
  </si>
  <si>
    <t>QZBW-Programmbestimmungen 2026, S. 19–20, Abschnitt 6.3</t>
  </si>
  <si>
    <t>Stichprobe kann risikobasiert auf 15 erhöht oder bei wirksamem QMS auf 10 reduziert werden; hier Standardfall.</t>
  </si>
  <si>
    <t>ANN-042</t>
  </si>
  <si>
    <t>BioZBW-Stichprobenumfang für die Kontrolle programmspezifischer Zusatzanforderungen</t>
  </si>
  <si>
    <t>Mindestens 10 % der landwirtschaftlichen Erzeuger pflanzlicher Produkte; bei n=150 ergeben sich 15 Kontrollen.</t>
  </si>
  <si>
    <t>BioZBW-Programmbestimmungen 2026, S. 17, Abschnitt 6.8</t>
  </si>
  <si>
    <t>Die EU-Öko-Grundkontrolle und deren 5-%-Nachinspektionsregel werden nicht als BIOZBW-spezifischer Zusatzaufwand monetarisiert.</t>
  </si>
  <si>
    <t>ANN-043</t>
  </si>
  <si>
    <t>Risikobasierte Auswahl und Dokumentation des jährlichen Mitglieder-Kontrollplans</t>
  </si>
  <si>
    <t>Minuten je Gruppe und Jahr</t>
  </si>
  <si>
    <t>Mitgliederstichprobe anhand der vorgeschriebenen Quote auswählen, Risikokriterien dokumentieren und Kontrollplan festhalten.</t>
  </si>
  <si>
    <t>Analoge Ex-ante-Schätzung auf Basis der Auswahlvorgaben in QZBW 2026, Abschnitt 6.3, und BioZBW 2026, Abschnitt 6.8</t>
  </si>
  <si>
    <t>Hoch – Zeitansatz nicht empirisch erhoben; bei stark automatisierter Auswahl geringer möglich.</t>
  </si>
  <si>
    <t>ANN-044</t>
  </si>
  <si>
    <t>Administrative Vorbereitung je extern kontrolliertem Gruppenmitglied</t>
  </si>
  <si>
    <t>Minuten je Stichprobenmitglied</t>
  </si>
  <si>
    <t>Termin und Unterlagen je ausgewähltem Mitglied koordinieren sowie Kontrollakte vorbereiten; keine Reise- oder Vor-Ort-Zeit.</t>
  </si>
  <si>
    <t>Analogie zu bestehenden Termin- und Unterlagenkoordinationspositionen; QZBW 2026, Abschnitt 6.3; BioZBW 2026, Abschnitt 6.8</t>
  </si>
  <si>
    <t>Hoch – Ex-ante-Annahme; abhängig von Datenqualität, Systemzugang und Rückfragen.</t>
  </si>
  <si>
    <t>ANN-045</t>
  </si>
  <si>
    <t>Administrative Nachbereitung je extern kontrolliertem Gruppenmitglied</t>
  </si>
  <si>
    <t>Kontrollcheckliste abschließen, Ergebnis und gegebenenfalls Abweichungen dokumentieren und Kontrollakte schließen; keine Vor-Ort-Prüfzeit.</t>
  </si>
  <si>
    <t>QZBW-Programmbestimmungen 2026, Abschnitt 12.5; BioZBW-Programmbestimmungen 2026, Abschnitt 11.5; analoge Ex-ante-Schätzung</t>
  </si>
  <si>
    <t>Hoch – Ex-ante-Annahme; aufwendige Abweichungsfälle sind nicht pauschal enthalten.</t>
  </si>
  <si>
    <t>ANN-046</t>
  </si>
  <si>
    <t>Administrative Vorbereitung der jährlichen Zeichennutzerkontrolle</t>
  </si>
  <si>
    <t>Minuten je Zeichennutzerkontrolle und Jahr</t>
  </si>
  <si>
    <t>Kontrolltermin abstimmen und das programmspezifische Dokumentenpaket beim Zeichennutzer anfordern; eine Genossenschaft ist ein Zeichennutzer.</t>
  </si>
  <si>
    <t>QZBW-Programmbestimmungen 2026, S. 24; BioZBW-Programmbestimmungen 2026, S. 17</t>
  </si>
  <si>
    <t>Hoch – Ex-ante-Annahme; tatsächlicher Aufwand hängt von Standardisierung und Vorbefüllung ab.</t>
  </si>
  <si>
    <t>ANN-047</t>
  </si>
  <si>
    <t>Dokumentenprüfung und administrative Checklistenbearbeitung bei der Zeichennutzerkontrolle</t>
  </si>
  <si>
    <t>Eigenkontrolle, Produkt- und Qualitätsnachweise, Waren- und Herkunftsdokumentation, Rückverfolgbarkeit und Kennzeichnung dokumentenbasiert prüfen und in der Checkliste dokumentieren.</t>
  </si>
  <si>
    <t>QZBW-Programmbestimmungen 2026, Abschnitte 6.2.1, 6.9 und 12.3; BioZBW-Programmbestimmungen 2026, Abschnitte 6.2.1, 6.8 und 11.3; BioZBW-Kombicheckliste 2025</t>
  </si>
  <si>
    <t>Hoch – Ex-ante-Annahme; die Programmbestimmungen belegen die Pflicht, nicht den Zeitansatz.</t>
  </si>
  <si>
    <t>ANN-048</t>
  </si>
  <si>
    <t>Abgrenzung externer Kontrollen</t>
  </si>
  <si>
    <t>Physische Vor-Ort-, Standort- und Prozessprüfung, Reisezeit, Probenahme sowie anlassbezogene Nachkontrollen, Sanktionen und Ausschlussfälle bleiben außerhalb der Jahressumme.</t>
  </si>
  <si>
    <t>Methodische Abgrenzung der engen zertifizierungsspezifischen administrativen Rechnung</t>
  </si>
  <si>
    <t>Die Jahressumme bildet deshalb nicht die vollständigen Kontrollkosten ab.</t>
  </si>
  <si>
    <t>ANN-049</t>
  </si>
  <si>
    <t>Gebündelter laufender Lizenznehmeraufwand je Mitglied und Jahr</t>
  </si>
  <si>
    <t>Minuten je Mitglied und Jahr</t>
  </si>
  <si>
    <t>Kontrollsumme der fünf laufenden Routinebausteine. Eine Stunde je Mitglied und Jahr entspricht bei 30 EUR je Stunde 30 EUR je Mitglied und Jahr.</t>
  </si>
  <si>
    <t>QZBW-Programmbestimmungen 2026, Abschnitte 3.2, 6.7, 6.8, 12.4 und 12.5; BioZBW-Programmbestimmungen 2026, Abschnitte 3.2, 6.7, 11.4 und 11.5; https://www.gemeinschaftsmarketing-bw.de/qualitaetszeichen-bw/was-ist-das-qualitaetszeichen/; https://www.gemeinschaftsmarketing-bw.de/bio-zeichen-bw/was-ist-das-bio-zeichen-2/</t>
  </si>
  <si>
    <t>Hoch – Die Programmbestimmungen belegen die Aufgaben, nicht den Zeitansatz; die Aufteilung ist eine transparente Ex-ante-Annahme.</t>
  </si>
  <si>
    <t>ANN-050</t>
  </si>
  <si>
    <t>Programminhalte und vertragliche Verpflichtungen laufend überwachen</t>
  </si>
  <si>
    <t>Teilnehmerstatus und Einhaltung der programmspezifischen sowie vertraglichen Pflichten im Standardjahr administrativ überwachen.</t>
  </si>
  <si>
    <t>QZBW-Programmbestimmungen 2026, S. 8, Abschnitt 3.2; BioZBW-Programmbestimmungen 2026, S. 7–8, Abschnitt 3.2; https://www.gemeinschaftsmarketing-bw.de/qualitaetszeichen-bw/was-ist-das-qualitaetszeichen/; https://www.gemeinschaftsmarketing-bw.de/bio-zeichen-bw/was-ist-das-bio-zeichen-2/</t>
  </si>
  <si>
    <t>Hoch – Ex-ante-Annahme; abhängig von Standardisierung und Zahl der Statusänderungen.</t>
  </si>
  <si>
    <t>ANN-051</t>
  </si>
  <si>
    <t>Kontrollen veranlassen und Durchführung überwachen</t>
  </si>
  <si>
    <t>Kontrollbeauftragung, Termin- beziehungsweise Statusüberwachung und Vollständigkeitskontrolle der vorgesehenen Kontrollen administrativ begleiten.</t>
  </si>
  <si>
    <t>QZBW-Programmbestimmungen 2026, S. 22, Abschnitte 6.7–6.8; BioZBW-Programmbestimmungen 2026, S. 17–18, Abschnitte 6.7 und 7.1; https://www.gemeinschaftsmarketing-bw.de/qualitaetszeichen-bw/was-ist-das-qualitaetszeichen/; https://www.gemeinschaftsmarketing-bw.de/bio-zeichen-bw/was-ist-das-bio-zeichen-2/</t>
  </si>
  <si>
    <t>Hoch – Ex-ante-Annahme; keine Prüf- oder Vor-Ort-Zeit der Zertifizierungsstelle enthalten.</t>
  </si>
  <si>
    <t>ANN-052</t>
  </si>
  <si>
    <t>Prüfergebnisse verarbeiten und Standardabweichungen nachverfolgen</t>
  </si>
  <si>
    <t>Prüfberichte beziehungsweise Auditprotokolle zuordnen, Status aktualisieren und die Bearbeitung gewöhnlicher Korrekturhinweise nachhalten.</t>
  </si>
  <si>
    <t>QZBW-Programmbestimmungen 2026, S. 40, Abschnitt 12.5; BioZBW-Programmbestimmungen 2026, S. 28, Abschnitt 11.5; https://www.gemeinschaftsmarketing-bw.de/qualitaetszeichen-bw/was-ist-das-qualitaetszeichen/; https://www.gemeinschaftsmarketing-bw.de/bio-zeichen-bw/was-ist-das-bio-zeichen-2/</t>
  </si>
  <si>
    <t>Hoch – Ex-ante-Annahme; schwere Verstöße und formelle Sanktionen sind nicht enthalten.</t>
  </si>
  <si>
    <t>ANN-053</t>
  </si>
  <si>
    <t>Neuanmeldungen und Stammdatenänderungen verwalten und an die MBW melden</t>
  </si>
  <si>
    <t>Teilnehmer- und Stammdaten im Jahresverlauf pflegen und tatsächliche Neuanmeldungen beziehungsweise Änderungen unverzüglich an die MBW weiterleiten.</t>
  </si>
  <si>
    <t>QZBW-Programmbestimmungen 2026, S. 39, Abschnitt 12.4; BioZBW-Programmbestimmungen 2026, S. 27–28, Abschnitt 11.4; https://www.gemeinschaftsmarketing-bw.de/qualitaetszeichen-bw/was-ist-das-qualitaetszeichen/; https://www.gemeinschaftsmarketing-bw.de/bio-zeichen-bw/was-ist-das-bio-zeichen-2/</t>
  </si>
  <si>
    <t>Hoch – Pauschalierter Jahresdurchschnitt; reale Fallzahl schwankt.</t>
  </si>
  <si>
    <t>ANN-054</t>
  </si>
  <si>
    <t>Jährliche zusammenfassende Teilnehmermeldung an die MBW erstellen</t>
  </si>
  <si>
    <t>Angeschlossene Erzeuger und Zeichennutzer getrennt nach Produktbereichen konsolidieren, plausibilisieren und zum 31. Dezember melden.</t>
  </si>
  <si>
    <t>Hoch – Ex-ante-Annahme für den anteiligen Aufwand innerhalb einer gebündelten Sammelmeldung.</t>
  </si>
  <si>
    <t>ANN-055</t>
  </si>
  <si>
    <t>Anlassbezogene Sanktionierung und Ausschlussverfahren des Lizenznehmers</t>
  </si>
  <si>
    <t>Bei schweren oder fortgesetzten Verstößen Abmahnung, Vertragsstrafe, Vermarktungsausschluss oder Kündigung prüfen, abstimmen, aussprechen und dokumentieren.</t>
  </si>
  <si>
    <t>QZBW-Programmbestimmungen 2026, S. 8, 22 und 40, Abschnitte 3.2, 6.7 und 12.5; BioZBW-Programmbestimmungen 2026, S. 20–21 und 28, Abschnitte 8 und 11.5; https://www.gemeinschaftsmarketing-bw.de/qualitaetszeichen-bw/was-ist-das-qualitaetszeichen/; https://www.gemeinschaftsmarketing-bw.de/bio-zeichen-bw/was-ist-das-bio-zeichen-2/</t>
  </si>
  <si>
    <t>Die Pflicht ist belegt, Eintrittshäufigkeit und Zeitaufwand sind für ein Standardjahr nicht belastbar pauschalierbar.</t>
  </si>
  <si>
    <t>2026-08-21</t>
  </si>
  <si>
    <t>Kontrollstellenkosten auf n=150 Mitglieder umgelegt</t>
  </si>
  <si>
    <t>V12 weist den gruppenfixen Kontrollstellenblock von 270,00 EUR ohne Pro-Kopf-Allokation aus.</t>
  </si>
  <si>
    <t>Nur die acht gruppenfixen Kontrollstellenpositionen wurden über den Faktor 1/150 einem Mitglied zugerechnet; alle übrigen Kostenpositionen blieben unverändert.</t>
  </si>
  <si>
    <t>Anford_QZBW_zert_spez; Anford_BioZBW_zert_spez; Kostenrechnung; Annahmen</t>
  </si>
  <si>
    <t>SankeyMATIC-Code, Bericht und zusätzliche Kontrolltätigkeiten werden erst nach Freigabe dieses Zwischenschritts angepasst.</t>
  </si>
  <si>
    <t>ANN-040; QZ-0046; QZ-0047; QZ-0064; QZ-0065; BIO-0043; BIO-0044; BIO-0057; BIO-0058</t>
  </si>
  <si>
    <t>2026-08-22</t>
  </si>
  <si>
    <t>Administrative Kontrolltätigkeiten bei Zeichennutzer und Mitgliederstichprobe ergänzt</t>
  </si>
  <si>
    <t>V12 enthielt nur den gruppenfixen QMS-Prüfblock; die jährliche Zeichennutzerkontrolle und administrative Vor-/Nachbereitung der externen Mitgliederstichprobe fehlten.</t>
  </si>
  <si>
    <t>Je Programm fünf Tätigkeiten ergänzt: Zeichennutzerkontrolle vorbereiten und dokumentenbasiert bearbeiten; Mitgliederstichprobe auswählen sowie je Stichprobenmitglied administrativ vor- und nachbereiten. Physische Vor-Ort-Zeit bleibt ausgeschlossen.</t>
  </si>
  <si>
    <t>Anford_QZBW_zert_spez; Anford_BioZBW_zert_spez; Kostenrechnung; Annahmen; SankeyMATIC-Codes</t>
  </si>
  <si>
    <t>Zeitansätze sind transparente Ex-ante-Annahmen. Anlassbezogene Nachkontrollen/Sanktionen und Schritt 3 zu Lizenznehmertätigkeiten bleiben offen.</t>
  </si>
  <si>
    <t>ANN-041 bis ANN-048; QZ-0068 bis QZ-0072; BIO-0065 bis BIO-0069</t>
  </si>
  <si>
    <t>QZBW-Programmbestimmungen 2026; BioZBW-Programmbestimmungen 2026; VO (EU) 2021/279; BioZBW-Kombicheckliste 2025</t>
  </si>
  <si>
    <t>QZBW: 13 Standard-Stichproben; BioZBW: 10 Nachinspektionen; Referenzgruppe n=150</t>
  </si>
  <si>
    <t>Schritt 2 – zur fachlichen Freigabe</t>
  </si>
  <si>
    <t>2026-08-23</t>
  </si>
  <si>
    <t>Laufende Lizenznehmertätigkeiten für QZBW und BioZBW symmetrisch ergänzt</t>
  </si>
  <si>
    <t>V12 erfasste bei QZBW nur die einmalige Vertragsprüfung und bei BioZBW zusätzlich eine mit 60 Minuten angesetzte Jahresmeldung; der weitergehende laufende Aufgabenbereich des Lizenznehmers fehlte.</t>
  </si>
  <si>
    <t>Je Programm 60 Minuten je Mitglied und Jahr auf fünf Routinebausteine verteilt: Programm-/Vertragsüberwachung 10, Kontrollorganisation 15, Prüfergebnisnachverfolgung 15, Stamm-/Neuanmeldungsmanagement 15 und Jahresmeldung 5 Minuten. Einmalige Vertragsprüfung bleibt separat; Sanktionen sind dokumentiert, im Standardjahr aber nicht monetarisiert.</t>
  </si>
  <si>
    <t>Zeitansätze sind transparente Ex-ante-Annahmen. Die Programmbestimmungen belegen Aufgaben und Häufigkeiten, nicht die angesetzten Minuten.</t>
  </si>
  <si>
    <t>ANN-049 bis ANN-055; QZ-0073 bis QZ-0078; BIO-0063; BIO-0070 bis BIO-0074</t>
  </si>
  <si>
    <t>QZBW-Programmbestimmungen 2026; BioZBW-Programmbestimmungen 2026; https://www.gemeinschaftsmarketing-bw.de/qualitaetszeichen-bw/was-ist-das-qualitaetszeichen/; https://www.gemeinschaftsmarketing-bw.de/bio-zeichen-bw/was-ist-das-bio-zeichen-2/</t>
  </si>
  <si>
    <t>Laufend: 30,00 EUR je Mitglied und Jahr in beiden Programmen; einmalige Vertragsprüfung: 30,00 EUR je Genossenschaft/Zeichennutzerin in beiden Programmen.</t>
  </si>
  <si>
    <t>Schritt 3 – zur fachlichen Freigabe</t>
  </si>
  <si>
    <t>23.08.2026</t>
  </si>
  <si>
    <t>Veröffentlichungsstand</t>
  </si>
  <si>
    <t>Kostenmodell Schritt 3</t>
  </si>
  <si>
    <t>BIOZBW-Stichprobe konsistent mit der programmspezifischen 10-%-Quote auf 15 Mitglieder gesetzt; EU-Öko-Nachinspektionsregel aus der Zusatzkostenrechnung abgegrenzt. SankeyMATIC-Kommentare und Verweise auf den digitalen Anhang präzisiert; Referenzwerte wegen gemischter Wiederholungslogik ausdrücklich nicht als reine Jahressummen bezeichnet.</t>
  </si>
  <si>
    <t>Sabrina Del Basso</t>
  </si>
  <si>
    <t>Finaler Stand für Abschlussbericht und digitalen Anhang</t>
  </si>
  <si>
    <t>// SankeyMATIC – QZBW – nur zertifizierungsspezifische administrative Zusatzaufwände
// Aktualisiert: 23.08.2026
// Monetarisierte Tätigkeiten: 53; modellierter Referenzwert: 1099.7 EUR je Mitglied (Gruppe n=150); wegen gemischter Wiederholungslogik keine reine Jahressumme.
// Lizenznehmer: 30 EUR laufende Verwaltung je Mitglied und Jahr; die einmalige Vertragsprüfung von 30 EUR bleibt als eigener Flow getrennt sichtbar.
// Anlassbezogene Sanktionen/Ausschlüsse sowie physische Vor-Ort-, Reise- und Probenahmezeiten sind nicht monetarisiert.
// QMS ist der einheitliche Oberbegriff. Interne Kontrollen sind Teilprozesse des QMS.
// === Nodes and Flows ===
Gesamt [1099.7] QZBW
QZBW [137.5] Traubenerzeuger
Traubenerzeuger [12.5] Teilnahmevereinbarung mit der Erzeugergruppe prüfen, unterzeichnen und übermitteln
Traubenerzeuger [25] Eigenkontroll-Checkliste des landwirtschaftlichen Betriebs ausfüllen und ablegen
Traubenerzeuger [50] GVO-Freiheitsbescheinigung ausfüllen beziehungsweise einholen und zusammen mit den zugehörigen Nachweisen ablegen
Traubenerzeuger [12.5] Datenschutzhinweise zur Teilnahmevereinbarung lesen und unterzeichnen
Traubenerzeuger [25] Vorhandene Betriebsnachweise für das QMS zusammenstellen und der Erzeugergruppe übermitteln
Traubenerzeuger [12.5] Umsetzung von Korrekturmaßnahmen dokumentieren und der Erzeugergruppe melden
QZBW [898.75] Genossenschaft
Genossenschaft [772.5] Administrative Tätigkeiten im QMS der Erzeugergruppe
Administrative Tätigkeiten im QMS der Erzeugergruppe [12.5] Teilnahmevereinbarung mit dem Gruppenmitglied ausfüllen, unterzeichnen und ablegen
Administrative Tätigkeiten im QMS der Erzeugergruppe [120] Excel-Meldedatei für jedes Gruppenmitglied ausfüllen und übermitteln
Administrative Tätigkeiten im QMS der Erzeugergruppe [60] Eigenkontrollcheckliste des Traubenerzeugers prüfen und Prüfergebnis dokumentieren
Administrative Tätigkeiten im QMS der Erzeugergruppe [15] Maßnahmenpläne prüfen und Prüfergebnis dokumentieren
Administrative Tätigkeiten im QMS der Erzeugergruppe [30] Pflanzenschutzaufzeichnungen prüfen und Prüfergebnis dokumentieren
Administrative Tätigkeiten im QMS der Erzeugergruppe [30] Düngemittelaufzeichnungen prüfen und Prüfergebnis dokumentieren
Administrative Tätigkeiten im QMS der Erzeugergruppe [15] Ernteaufzeichnungen prüfen und Prüfergebnis dokumentieren
Administrative Tätigkeiten im QMS der Erzeugergruppe [15] Verkaufszahlen prüfen und Prüfergebnis dokumentieren
Administrative Tätigkeiten im QMS der Erzeugergruppe [30] Flächenangaben prüfen und Prüfergebnis dokumentieren
Administrative Tätigkeiten im QMS der Erzeugergruppe [15] Lieferscheine prüfen und Prüfergebnis dokumentieren
Administrative Tätigkeiten im QMS der Erzeugergruppe [15] Wareneingangsdokumente prüfen und Prüfergebnis dokumentieren
Administrative Tätigkeiten im QMS der Erzeugergruppe [15] Rechnungsunterlagen prüfen und Prüfergebnis dokumentieren
Administrative Tätigkeiten im QMS der Erzeugergruppe [15] Korrekturmaßnahmen definieren und Umsetzungsfristen dokumentieren
Administrative Tätigkeiten im QMS der Erzeugergruppe [15] Nachkontrolle durchführen und Ergebnis dokumentieren
Administrative Tätigkeiten im QMS der Erzeugergruppe [15] Beschwerden erfassen, untersuchen, klären und dokumentieren
Administrative Tätigkeiten im QMS der Erzeugergruppe [45] Kontroll- und Abweichungsprotokolle führen
Administrative Tätigkeiten im QMS der Erzeugergruppe [15] Abweichungen kategorisieren und dokumentieren
Administrative Tätigkeiten im QMS der Erzeugergruppe [120] QMS-Verfahren, Arbeitsanweisungen, Formulare und Aufzeichnungen ablegen, auf Aktualität prüfen und pflegen
Administrative Tätigkeiten im QMS der Erzeugergruppe [15] Verfahren zur Aufnahme neuer Mitglieder pflegen und Neuaufnahme dokumentieren
Administrative Tätigkeiten im QMS der Erzeugergruppe [15] Qualifikations-, Zulassungs- und Begleitnachweise interner Auditoren und Kontrolleure pflegen
Administrative Tätigkeiten im QMS der Erzeugergruppe [30] Schulungen planen sowie Inhalte und Teilnehmende dokumentieren
Administrative Tätigkeiten im QMS der Erzeugergruppe [15] Interne Audits terminieren und Auditzeitplan pflegen
Administrative Tätigkeiten im QMS der Erzeugergruppe [7.5] Mitgliedsfreigabe im Vier-Augen-Prinzip prüfen und dokumentieren
Administrative Tätigkeiten im QMS der Erzeugergruppe [30] Rückverfolgbarkeitssystem anhand eines Warenbeispiels testen und Ergebnis dokumentieren
Administrative Tätigkeiten im QMS der Erzeugergruppe [25] Kontrollvertrag beziehungsweise Kontrollauftrag prüfen, unterzeichnen und ablegen
Administrative Tätigkeiten im QMS der Erzeugergruppe [30] QMS-Kontrollunterlagen zusammenstellen und der Zertifizierungsstelle bereitstellen
Administrative Tätigkeiten im QMS der Erzeugergruppe [7.5] Gruppenzertifikat prüfen, intern zuordnen und im QMS ablegen
Genossenschaft [126.25] Administrative Tätigkeiten als Zeichennutzer
Administrative Tätigkeiten als Zeichennutzer [25] Zeichennutzungsvertrag lesen, unterzeichnen und ablegen
Administrative Tätigkeiten als Zeichennutzer [6.25] Datenschutzhinweise zum Zeichennutzungsvertrag lesen und unterzeichnen
Administrative Tätigkeiten als Zeichennutzer [30] Eigenkontrollcheckliste des Zeichennutzers ausfüllen und ablegen
Administrative Tätigkeiten als Zeichennutzer [15] QZBW-Qualitätsnachweis beschaffen und für die Eigen- beziehungsweise Zertifizierungskontrolle bereithalten
Administrative Tätigkeiten als Zeichennutzer [50] Warenflüsse zwischen QZBW- und Nicht-QZBW-Ware trennen und nachvollziehbar dokumentieren
QZBW [3.45] Kontroll-/Zertifizierungsstelle
Kontroll-/Zertifizierungsstelle [1.8] Administrative Prüfung des Gruppen-QMS
Administrative Prüfung des Gruppen-QMS [0.8] QMS einschließlich interner Kontrollen anhand der Unterlagen verifizieren und Ergebnis dokumentieren
Administrative Prüfung des Gruppen-QMS [0.8] Prüfergebnisse dokumentieren, an auditierten Betrieb und Lizenznehmer übermitteln sowie Quartalsbericht an die MBW erstellen
Administrative Prüfung des Gruppen-QMS [0.1] Externen QMS-Kontrolltermin abstimmen und erforderliche Kontrollunterlagen anfordern
Administrative Prüfung des Gruppen-QMS [0.1] Zertifizierungsentscheidung dokumentieren und Gruppenzertifikat beziehungsweise Zertifikatsdaten übermitteln
Kontroll-/Zertifizierungsstelle [0.25] Administrative Tätigkeiten der Zeichennutzerkontrolle
Administrative Tätigkeiten der Zeichennutzerkontrolle [0.05] Jährliche Zeichennutzerkontrolle terminieren und programmspezifische Unterlagen anfordern
Administrative Tätigkeiten der Zeichennutzerkontrolle [0.2] Eigenkontrollsystem, Produkt- und Qualitätsnachweise, Waren- und Herkunftsdokumentation, Rückverfolgbarkeit und Kennzeichnung prüfen und Kontrollcheckliste vervollständigen
Kontroll-/Zertifizierungsstelle [1.4] Administrative Vor- und Nachbereitung der Mitgliederstichprobe
Administrative Vor- und Nachbereitung der Mitgliederstichprobe [0.1] Risikobasierte Mitgliederstichprobe auswählen und jährlichen Kontrollplan dokumentieren
Administrative Vor- und Nachbereitung der Mitgliederstichprobe [0.65] Termin und Unterlagen je ausgewähltem Mitglied koordinieren und Kontrollakte vorbereiten
Administrative Vor- und Nachbereitung der Mitgliederstichprobe [0.65] Kontrollcheckliste je Stichprobenmitglied abschließen, Ergebnis und gegebenenfalls Abweichungen dokumentieren und Kontrollakte schließen
QZBW [60] Externer Lizenznehmer
Externer Lizenznehmer [30] Einmalige Vertragsprüfung und Programmanmeldung
Einmalige Vertragsprüfung und Programmanmeldung [30] Zeichennutzungsvertrag der Erzeugergruppe prüfen und gegenzeichnen sowie Programmanmeldung weiterleiten
Externer Lizenznehmer [30] Laufende teilnehmerbezogene Lizenznehmerverwaltung
Laufende teilnehmerbezogene Lizenznehmerverwaltung [5] Programminhalte und vertragliche Verpflichtungen der angeschlossenen Teilnehmer laufend überwachen
Laufende teilnehmerbezogene Lizenznehmerverwaltung [7.5] Vorgesehene Kontrollen veranlassen und deren Durchführung administrativ überwachen
Laufende teilnehmerbezogene Lizenznehmerverwaltung [7.5] Prüfergebnisse zuordnen, Teilnehmerstatus aktualisieren und gewöhnliche Korrekturhinweise nachverfolgen
Laufende teilnehmerbezogene Lizenznehmerverwaltung [7.5] Neuanmeldungen und Stammdatenänderungen verwalten und unverzüglich an die MBW melden
Laufende teilnehmerbezogene Lizenznehmerverwaltung [2.5] Jahresmeldung der angeschlossenen Erzeuger und Zeichennutzer erstellen, plausibilisieren und an die MBW übermitteln
// === Settings ===
size w 2000
  h 1200
margin l 8
  r 2
  t 18
  b 20
bg color #ffffff
  transparent N
node w 2
  h 44
  spacing 73
  border 0
  theme c
  color #888888
  opacity 1
flow curvature 0.26
  inheritfrom target
  color #999999
  opacity 0.45
layout order exact
  justifyorigins N
  justifyends Y
  reversegraph N
  attachincompletesto nearest
labels color #000000
  hide N
  highlight 0.55
  fontface sans-serif
  linespacing 0
  relativesize 100
  magnify 96
labelname appears Y
  size 9
  weight 400
labelvalue appears Y
  fullprecision Y
  position before
  weight 400
labelposition autoalign 0
  scheme auto
  first before
  breakpoint 7
value format '.,'
  prefix ''
  suffix ' €'
themeoffset a 6
meta mentionsankeymatic N
  listimbalances Y</t>
  </si>
  <si>
    <t>// SankeyMATIC – BioZBW – nur zertifizierungsspezifische administrative Zusatzaufwände
// Aktualisiert: 23.08.2026
// Monetarisierte Tätigkeiten: 53; modellierter Referenzwert: 1049.9 EUR je Mitglied (Gruppe n=150); wegen gemischter Wiederholungslogik keine reine Jahressumme.
// Lizenznehmer: 30 EUR laufende Verwaltung je Mitglied und Jahr; die einmalige Vertragsprüfung von 30 EUR bleibt als eigener Flow getrennt sichtbar.
// Anlassbezogene Sanktionen/Ausschlüsse sowie physische Vor-Ort-, Reise- und Probenahmezeiten sind nicht monetarisiert.
// QMS ist der einheitliche Oberbegriff. Interne Kontrollen sind Teilprozesse des QMS.
// === Nodes and Flows ===
Gesamt [1049.9] BioZBW
BioZBW [87.5] Traubenerzeuger
Traubenerzeuger [12.5] Teilnahmeerklärung gegenüber der Genossenschaft als Zeichennutzerin und Unternehmergruppe prüfen, unterzeichnen und übermitteln
Traubenerzeuger [12.5] Datenschutzhinweise zur Teilnahmevereinbarung lesen und unterzeichnen
Traubenerzeuger [25] Vorhandene Betriebsnachweise für das QMS zusammenstellen und der Unternehmergruppe übermitteln
Traubenerzeuger [12.5] Umsetzung von Korrekturmaßnahmen dokumentieren und der Unternehmergruppe melden
Traubenerzeuger [25] Eigenkontrollcheckliste des landwirtschaftlichen Betriebs ausfüllen und ablegen
BioZBW [898.75] Genossenschaft
Genossenschaft [757.5] Administrative Tätigkeiten im QMS der Erzeugergruppe
Administrative Tätigkeiten im QMS der Erzeugergruppe [12.5] Teilnahmevereinbarung mit dem Gruppenmitglied ausfüllen, unterzeichnen und ablegen
Administrative Tätigkeiten im QMS der Erzeugergruppe [120] Mitglieder- und Meldedatei aktualisieren und jährlich an den Lizenznehmer übermitteln
Administrative Tätigkeiten im QMS der Erzeugergruppe [60] Eigenkontrollcheckliste und betriebliche Nachweise des Gruppenmitglieds prüfen, Prüfergebnis dokumentieren und Mitglied freigeben
Administrative Tätigkeiten im QMS der Erzeugergruppe [15] Maßnahmenpläne prüfen und Prüfergebnis dokumentieren
Administrative Tätigkeiten im QMS der Erzeugergruppe [30] Pflanzenschutzaufzeichnungen prüfen und Prüfergebnis dokumentieren
Administrative Tätigkeiten im QMS der Erzeugergruppe [30] Düngemittelaufzeichnungen prüfen und Prüfergebnis dokumentieren
Administrative Tätigkeiten im QMS der Erzeugergruppe [15] Ernteaufzeichnungen prüfen und Prüfergebnis dokumentieren
Administrative Tätigkeiten im QMS der Erzeugergruppe [15] Verkaufszahlen prüfen und Prüfergebnis dokumentieren
Administrative Tätigkeiten im QMS der Erzeugergruppe [30] Flächenangaben prüfen und Prüfergebnis dokumentieren
Administrative Tätigkeiten im QMS der Erzeugergruppe [15] Lieferscheine prüfen und Prüfergebnis dokumentieren
Administrative Tätigkeiten im QMS der Erzeugergruppe [15] Wareneingangsdokumente prüfen und Prüfergebnis dokumentieren
Administrative Tätigkeiten im QMS der Erzeugergruppe [15] Rechnungsunterlagen prüfen und Prüfergebnis dokumentieren
Administrative Tätigkeiten im QMS der Erzeugergruppe [15] Korrekturmaßnahmen definieren und Umsetzungsfristen dokumentieren
Administrative Tätigkeiten im QMS der Erzeugergruppe [15] Nachkontrolle durchführen und Ergebnis dokumentieren
Administrative Tätigkeiten im QMS der Erzeugergruppe [15] Beschwerden erfassen, untersuchen, klären und dokumentieren
Administrative Tätigkeiten im QMS der Erzeugergruppe [45] Kontroll- und Abweichungsprotokolle führen
Administrative Tätigkeiten im QMS der Erzeugergruppe [15] Abweichungen kategorisieren und dokumentieren
Administrative Tätigkeiten im QMS der Erzeugergruppe [120] QMS-Verfahren, Unterlagen und Aufzeichnungen erstellen, aktualisieren und bereitstellen
Administrative Tätigkeiten im QMS der Erzeugergruppe [7.5] Mitgliederliste mit Kontrollstatus und Versionsstand aktualisieren
Administrative Tätigkeiten im QMS der Erzeugergruppe [15] interne QMS-Kontrolleure ernennen sowie Interessenkonflikte und Qualifikation dokumentieren
Administrative Tätigkeiten im QMS der Erzeugergruppe [30] interne QMS-Kontrolleure und Mitglieder schulen und Schulungsnachweise pflegen
Administrative Tätigkeiten im QMS der Erzeugergruppe [15] Interne Inspektionen terminieren und Inspektionsplan pflegen
Administrative Tätigkeiten im QMS der Erzeugergruppe [15] Neue Mitglieder, Produktionseinheiten oder Tätigkeiten prüfen und Zulassung dokumentieren
Administrative Tätigkeiten im QMS der Erzeugergruppe [15] Erhebliche Verstöße, Mitgliedssperren und Vermarktungsverbote an die Kontrollstelle melden
Administrative Tätigkeiten im QMS der Erzeugergruppe [25] Kontrollvertrag beziehungsweise Kontrollauftrag prüfen, unterzeichnen und ablegen
Administrative Tätigkeiten im QMS der Erzeugergruppe [30] QMS-Kontrollunterlagen zusammenstellen und der Kontrollstelle bereitstellen
Administrative Tätigkeiten im QMS der Erzeugergruppe [7.5] Gruppenzertifikat prüfen, intern zuordnen und im QMS ablegen
Genossenschaft [141.25] Administrative Tätigkeiten als Zeichennutzer
Administrative Tätigkeiten als Zeichennutzer [25] Zeichennutzungsvertrag lesen, unterzeichnen und ablegen
Administrative Tätigkeiten als Zeichennutzer [6.25] Datenschutzhinweise zum Zeichennutzungsvertrag lesen und unterzeichnen
Administrative Tätigkeiten als Zeichennutzer [30] Eigenkontrollcheckliste des Zeichennutzers ausfüllen, aktualisieren und ablegen
Administrative Tätigkeiten als Zeichennutzer [50] Warenflüsse zwischen zertifizierten und nicht zertifizierten Produkten trennen und nachvollziehbar dokumentieren
Administrative Tätigkeiten als Zeichennutzer [15] BioZBW-Produktaufstellung aktualisieren und für Kontrollen bereitstellen
Administrative Tätigkeiten als Zeichennutzer [15] Qualitätsprüfung administrativ anmelden sowie Ergebnisnachweis zuordnen und bereithalten
BioZBW [3.65] Kontroll-/Zertifizierungsstelle
Kontroll-/Zertifizierungsstelle [1.8] Administrative Prüfung des Gruppen-QMS
Administrative Prüfung des Gruppen-QMS [0.8] QMS anhand der Unterlagen verifizieren und Ergebnis dokumentieren
Administrative Prüfung des Gruppen-QMS [0.8] Prüfergebnisse dokumentieren und Quartalsmeldung an die MBW übermitteln
Administrative Prüfung des Gruppen-QMS [0.1] Externen QMS-Kontrolltermin abstimmen und erforderliche Kontrollunterlagen anfordern
Administrative Prüfung des Gruppen-QMS [0.1] Zertifizierungsentscheidung dokumentieren und Gruppenzertifikat beziehungsweise Zertifikatsdaten übermitteln
Kontroll-/Zertifizierungsstelle [0.25] Administrative Tätigkeiten der Zeichennutzerkontrolle
Administrative Tätigkeiten der Zeichennutzerkontrolle [0.05] Jährliche Zeichennutzerkontrolle terminieren und programmspezifische Unterlagen anfordern
Administrative Tätigkeiten der Zeichennutzerkontrolle [0.2] Eigenkontrollsystem, Produkt- und Qualitätsnachweise, Waren- und Herkunftsdokumentation, Rückverfolgbarkeit und Kennzeichnung prüfen und Kontrollcheckliste vervollständigen
Kontroll-/Zertifizierungsstelle [1.6] Administrative Vor- und Nachbereitung der Mitgliederstichprobe
Administrative Vor- und Nachbereitung der Mitgliederstichprobe [0.1] Risikobasierte Mitgliederstichprobe auswählen und jährlichen Kontrollplan dokumentieren
Administrative Vor- und Nachbereitung der Mitgliederstichprobe [0.75] Termin und Unterlagen je ausgewähltem Mitglied koordinieren und Kontrollakte vorbereiten
Administrative Vor- und Nachbereitung der Mitgliederstichprobe [0.75] Kontrollcheckliste je Stichprobenmitglied abschließen, Ergebnis und gegebenenfalls Abweichungen dokumentieren und Kontrollakte schließen
BioZBW [60] Externer Lizenznehmer
Externer Lizenznehmer [30] Einmalige Vertragsprüfung und Programmanmeldung
Einmalige Vertragsprüfung und Programmanmeldung [30] Zeichennutzungsvertrag der Genossenschaft prüfen und gegenzeichnen sowie Programmanmeldung weiterleiten
Externer Lizenznehmer [30] Laufende teilnehmerbezogene Lizenznehmerverwaltung
Laufende teilnehmerbezogene Lizenznehmerverwaltung [2.5] Jahresmeldung der angeschlossenen Erzeuger und Zeichennutzer erstellen, plausibilisieren und an die MBW übermitteln
Laufende teilnehmerbezogene Lizenznehmerverwaltung [5] Programminhalte und vertragliche Verpflichtungen der angeschlossenen Teilnehmer laufend überwachen
Laufende teilnehmerbezogene Lizenznehmerverwaltung [7.5] Vorgesehene Kontrollen veranlassen und deren Durchführung administrativ überwachen
Laufende teilnehmerbezogene Lizenznehmerverwaltung [7.5] Prüfergebnisse zuordnen, Teilnehmerstatus aktualisieren und gewöhnliche Korrekturhinweise nachverfolgen
Laufende teilnehmerbezogene Lizenznehmerverwaltung [7.5] Neuanmeldungen und Stammdatenänderungen verwalten und unverzüglich an die MBW melden
// === Settings ===
size w 2000
  h 1200
margin l 8
  r 2
  t 18
  b 20
bg color #ffffff
  transparent N
node w 2
  h 44
  spacing 73
  border 0
  theme c
  color #888888
  opacity 1
flow curvature 0.26
  inheritfrom target
  color #999999
  opacity 0.45
layout order exact
  justifyorigins N
  justifyends Y
  reversegraph N
  attachincompletesto nearest
labels color #000000
  hide N
  highlight 0.55
  fontface sans-serif
  linespacing 0
  relativesize 100
  magnify 96
labelname appears Y
  size 9
  weight 400
labelvalue appears Y
  fullprecision Y
  position before
  weight 400
labelposition autoalign 0
  scheme auto
  first before
  breakpoint 7
value format '.,'
  prefix ''
  suffix ' €'
themeoffset a 6
meta mentionsankeymatic N
  listimbalances Y</t>
  </si>
  <si>
    <t>https://sankeymatic.com/build/?i=PTAEGUEMDsGsFMCeBZAggFQJIGFSGQCUARQC0AhAdX1GgFcAnUAL3joBcBLAM3cfZZugBzAM7CADvF7dhAYwAW8UJAAmAW3bR2w1nUgcAbouI1hexpBqcA7gBPoy%2BACgQoVLFY1IAGy182ALlAAJgBmADoABgAOMKCIoIA2ZzBkAHtoeFZIOl8WVkV0Gw5BBHZ86ECAVhCAblBVVIcvHzyWUAAleE4WeGhGKzzAgEYIgE5RsIB2UABRAFV20AArRWQywRblUAAKAHE6GjEJagBeIcqIgEo6gcFe0Dv1WTl8hnI%2BBzo5VK8BES9UoJ2LBQKUMqA6PANIoAFKQOSQ0Q0VSqeBhZKgAAyPF6jAyclRdECIQiswWoC8Fm69kUADUWFZvB4hMtVutNqABFs4Qi6so%2BKAodBVN52HdQPS2LoRGI6AAfzh%2DUD6dKgElkxYAIy8UM1rCUXmEgrFvTaADEAVYHplIdBoPrhOx5KxNdl0S5UNBKaJNZJAaaIDB3Ox0r1gKgTM8vHLRIphKkrAKxHJEI7nnTUnQALQAeTYWYANB0ocJ4FnOfZQAAFOipX3QeGo5hle6OyuaZ31UNZHKOvLusCEZDgUBafWfY3QBRlHzyRQ5310X2CHKcThhUCYe0scEAaXSOh%2BOugoDbW3QUK8stSzFjoAcRqH4HRjkcu3gplU%2BoA2iNxlMAF0iDIchHBIChQF%2DEJJjCSogPQXQaHrFhmBoO46EcBCLGQuhUPQyChiCWD4MvBsCXgQxIQ0V0DhZdRxzaGZcPgNCWBXQ5jllBVeiLARXmbeQMhPLlQDlRd6PyLxoEwxCcLwtpvyCODZhNOAD1rZos2wBQZFgHxtEUB8KRgZREzYZ5IE4VhZwUE9SBtPhNSNCxhE4OVmnuETIG1eA7mkrCkNNZjWIYb8LiA3ZaRzLMzSo6dWGEX10w0MUlRctyPJPX1eHgOQ%2DmEAYtEUIVvmPCstkYExIBRe56Pve5KruOQADecj80AADlIHkQrSxPbydT8mTsKC%2BTQsI4jQAAET0XpnhoVhGDkDResUSqGAvdgpMbCiemo7IlR1PryorfioUE3phsCjJgvwxTlNpTM5BMgN7J0RzhAbHqS0UNyGGUSBH2HJgqpq6ADMyk6JyYsb2KORQxJYCT4Ckq65JYu6JuUuZVFLRalRVE99zoSF3HoEUAH2yNRE9lFSWBkV6DgemEytodutiDnh%2BoUYcaTwMob8olGGJJmU99oFSWNwfkSzWDfXopb6iyrMgyZJiI5TUDUFLtF0AwCiKMVSnKUdVCIYH2dhrmJEcbX1E0PW9HYQxQEKYoTfudhzafeqGBhjHOY4xRf01kitup3aqOgGilTqhxzf2YPhXZD4lBMDLj147dmKdOQhJOgbfMu%2B3dZ0Z3Xfd42oVN72LZHK3A7oOHjlDiIgJmAAPGQUazZBefgAH8nYUA%2DtZIyk%2DhlPWA2NP0vcsqRMRuhkdR0vHfLg23aNkoa69n3LcYjnm5tkOEnblS%2DNgdSjznXT9PyeqjQC9GQqNLjqROmtuOb%2BBNUd%2B89NGb2j8CXHWG99Yu0Nh7PeJ466%2B0biFFuIdzhAWQJAKmO1oBiC8HYRQH9PKVm%2Dt0X%2B%2D8tCAIZjTZmto7bgLHJAyuO9PZwIPg3I%2B1tg6QRJEBKsnBKR9DmvIBa5hLACXzn8e4BDWZbGIWxP%2BAC6aUKZqA6S696EV2gdXFsLD65%2B1mMfZBXCL5TTlEIeAq8qRiNoGYk8Uiv7yhIXcMhRpFHAOoWAh26it5V13tos2ujEHoUMb%2BZSTFtyWPOuImxoA7EiVkaQhRQCqEqNoZ4p23imGwP8Qg9hTdgmoIlCwWAVJhDmDkGVWJRCHFyOcRQtxKS1HpKgdvGBfj4GH39gY0%2BRigIWhsHOBsQhvKSOqdI6s1SEnkNccklmqSy4MM0b42urC9EByQd0kJQFsRdBYMlcElSZETKcYkpRIDZmNM3s0nxzDskdP0Rw7mmzQDkGyKaDQggYAiGmUzfBoz7E%2D2OVMpJyjzl0KaYw1pyyAm5PWZwp5nRBL5T4iwSk7UDnjIBfIoFpz3GqLBZciFWioU5M6Q81uBTiakw8CvDBkdaZdBSizE6OM8aVSEK5XsptvlnJoRchZLSiX72haSvJGyCldXkNfe0GkdT3noPINyCJCFbCYoClxwKeUePmRogVSyhUkvuaKuFBT7LPAGHQPmgo6CcEBn1bOrxhA0AGUWPSNhbRQw1biuZECdXXKye0thIrYWPIACzKX3NKo85YRKoE1IVIR7LrysHpkeX6colV4rSQSxZNyA2rK6carWcbIkSJPMU%2DIghMy5HdSJblXq%2BW%2BsyW0lZgSg6PMIhfJ8WZJQ2ozUWVAS4a6mGgL1UtRYzSZlUDQSkkIToRk4FY0tSgfJ%2BSLFSVwZNRSsCKDEv5IkxB8OLpm7VGTIX6ruWsoJYqHosF7e69arhLCR2oCxNoawZ6bDaAewayrOosSpM%2ButDT8X8r9c24Vhrg3kuUoQTwPhuDlpDODQsoBjDekdey6NlZ7IbBrl9OQq1Rw5xuo%2B%2Dkyaa2VgjYeDy9B8GHqGg209gqdEGsvW21u3CIBCN%2BNEnBMBWwJgFFuZ6XhH4iU2lJXKNMHB1JmbykDjaz0sYvQW9tyktyvHBBGMjRpXieKZTGmgZHmysD47Y%2BjWqfVMb1cpwNkGr1wpgspd9s9B4cqhB830%2DjaR%2BCzBGPyWYawaF4GIXd3ExlAdBVm0DTbiUqbJSHTj7Q5S6UopwH4ggaIm1EKmfI5sYDPUrEKD8zzXkxxLGIPghpQD5AMmM1VWL1U4uA9FxTzHbl2bYyfOFSkgJUZlZRcughQDZT4HldlhH%2BtHipENsL1J7UoUiQXLyK7LNeKubF89nXVMcc7cOLMU3mjIroKihqoMaYQ0XmzNoxA8hcB4H4fKl3FCLiHZJY83r1uEpsx1%2DNCW1aTUnhIARbB7vlrmzxIjmmQaZmUMtyseai5DQlkrQRz1VahwSLELWCnrM3O8EaW7edei0EWiwT74Kc1ZIJ6hyJJPhEKV67T4ndphH5UG9KCkH5IfHasb%2BpHa3Ke6vx9VonAzSfMFCljpnM1yjzUWstEdP0QbmzF7ZCX7O8ic6Or%2B3nS3BfZuF9T0XdPWdk9CpxmYqkpXUa8HfPSY5DIlbV%2DT83zkM4L356t49VmNtKYNIT03EuFIFIFlmWDW6iifW6gRksI2PyyzXL%2Bse%2DJFBW4C%2DHnK42RCEdu6D7gOVaIiBtzKl7e1WAifKBTw3YHTY05d2byXkFwqldtHwmMpYmCJnTCeMPJ0Op51YOHkCWYXmzp0CT39%2BGVTNCzzRWTIKaECy4WEMNfWb6aWAHnjgBfHvsue44Q7Xgsxb7u7v%2Dg%2B%2D3soLCFEICjHmnEKVBPU%2B0Bw%2DDmr%2Dyx%2DLJn%2DJzfyOb8EQN%2BQEvsQoUYfAFMNkUOO4bQR%2B9wBWJkeicwOcp2J4lE92hev6DWtSkW8mrWW8X%2Bw2P%2BU8f%2BkEgBt%2BGKjijWneOBkOMA6cZGfgpsb0OQf8J02IzAfQ%2BIhIok4kZQkkJ48YiYigEebABOi4g%2BSgtMAoyAEEuyV%2BPuX2igBBT8oAQOvQJBABYQQwHcncmm9wXaR%2BemGgy62g3sNMJ0t6sOKKxOoAR%2Bx2KBkh6WFqO4H%2BOqyhRBwOGhgB2htO%2BeD2F%2BIgTMyUygT%2BnqKiJ0ahIOO%2BwIegmeY2%2BUueZ%2BMRCUQ89wy8q80kR%2BJ%2B2%2B6Be%2BIgz2pB2Od%2BuOfu7WE4DewedAJeqarheOWS5RQeDOVRG%2BsqmhEQykMINgCINkRgjR5u1RHkNWSMjKFGWw14K41UuMEgUgWgc4oASBrwDhMAThnwChQute9wDRLOlRAxrRgBQQHc1uLRwguW5iRYNYjQNA7gWGWwEePg26CU%2BGq0RYY%2B6hJ0AAEkUgIFZMIHWs7OkEWMlqlpYV4JltkCbCdLuCTouiyOikfvbg%2DIoJRDPoaNuvYKpIfi0dkUkYXk9lfgRKvsUXgc0o9NmP3jHq9mUE%2Dm%2BqnIPHIXnNeL6LUSSZmDcZ1BSeXtSQwC5p%2BnQKYfIIySHN4UBO0L4NfK6H2GwGyB%2Bh8PSQKbWF5i5LYOUr%2BksF0SdizrYS0WZgvpqmsYbqSWyRKnIJScyIQTSTKXSXyRwPKXWEKWEAkMpBeCvMYSJAsSipAO1CsOnMIHcMqaJuYqADyWnNfLDiMb%2BkfpAO4EiZmKaQbvyoaeSfIKaVyUGbSZ8PyXIIKYUY6evpGs0AiY7qyBADaVmQqb0PRK5lsN5GAfABTJDlgQAiJHcE4qaNADas0EaLGvGtnpsWEQZpRi0VGY%2DLWfWfzCBJBOfDoXoQwOwbiFweTl3DOViDiJwVJgpJbhoCKD4OKJKENuIA4kqHErWBMSiDAKiF4CEUII4FbsKKKLuVrp6QeQqEeVUoCLoGecKLzEqN%2BJxhUWzuyhzp6X9katzOii2biPrgIYJkoSeR%2BSKF%2BZeUqIVIsbAjebodAbOauXiOuRbhfJiFSL0DJsPJJuRIOowP6OCHOWuWRZRIyKJn8I4ARZYERYoCRQueRZRYoNRThbRQyEyD%2BcpBcaeQ7JXooCJEBbPHMZKN%2BoPkuhOJ8gnuUqjgXBJhxcZCxZWMvIyAMkxYRTSEMRHLhdlFxSuRwbxYSHRQJSyN%2BE5kBKSXcKWLZIoLAagSwDAOhr%2Bp8PcFNPKnIIqkXkoCUfoDwfxbpcxdSMRaRMZX6H5NxdhRxVZQxTZXZRQTUo7J3pVLDkJEWGpbhdoHoCYEoJuvpOEc2fAFYM1PnD0VqSTPAGTF8CtMrtPiCUNBFaxYZaRYSCZXFWZfObhUlWaQDspB1P%2BohVee1CJOAFkCiKkdAHYJ8EuoNbrtAJRIwHKFJXIJIfeNIRBBeXzHpZpVFUZWRT1QGDxYlfxclcNopJNDyIiPtamYpVGCpfcF1idP%2Beblas9tAEWHxiYOwJqFtNWvzlIasBBOkXwSjNJI6MwKAFaHEBEBEI4KAKAFtR2sjSKM3MYV4KAFECjRCMEATfqEMPjajZqMEMjZqMNjID8JmKAAAMRrjM2cDE26DgxiBlb6gdSOCSwyYI0E1bUhohoE3iDdTvKgCTAhAE2ahWEMDI2o0V7mKKAyAE200AgMAM1RDa060E2pCc0yBlCICgBDCOB8IJigAyD0D6CFWzr7FJCo0aAKA5CsCcC1jmw9h3Dyyo3q300M3jAB2jB60G1G2gCAFhqOCUiICpALSgBy2CidzdTe3LAmA77R1tQaBGg82o1LCp1cCIBEVGgACaBNkIlEpYExyYnUBNegWQ8gGgtNqgOCmQH4yaL6ry2gkdwy1WvtmtSN%2DdCtaN7AMm2dQ9gg5SYoLwYdsElQBN6W9oNqPcp4MAwgWYpYq4BNPgGQYthtLIg9kIlIBssNigIwg9IoggmgnAxtowSQlIvo20qISg8M2QxdotOIoAQdqNhU49%2BoIaSNXd99NtvwigkAz9fJoAJdqNiozQso8AhtjoqokDMSUsZQSG8eThTgX9HmU9f9yNd9KMYgKDHAqoFgya95J4g96Yj9pDqQc97A1p6DmYmDI2kIUZhDGg%2BoSQQDNAv0k6sRAA5GEAWPwwTbA9wJ3KAPwyI6jY6muOwBI%2Dw6AIADUEIjStqIqQa4eMSgoADtI2Ydat%2BjqNWwmNmQkAPMIC6Qw6CAiAIoNp1dqND83sro%2DCPcxdQAA</t>
  </si>
  <si>
    <t>Link zum interaktiven Diagramm</t>
  </si>
  <si>
    <t>https://sankeymatic.com/build/?i=PTAEGUEMDsGsFMCeBZAggFQJIGFSGQCUAIQEsB7ALUIHV9RoBXAJ1AC95GAXYgM2JePb1oAcwDOogA7x%2BvUQGMAFvFCQAJgFti0YqI6NIXAG7Ly9UQZaR63AO4AT6KvgAoEKFSwO9SABsdAzgAuUAAmAGYAOgAGAA4IkKiQgDZXMGRSaHgOSEZ%2Ddg5ldDsuYQRiAuhggFYwgG5QdVInHz989lAAJXhudnhoFht84IBGKIAWAE4IidAAUQBVDtAAK2VkcuFW1VAACgBxRnoJKToAXmGqqIBKesHhPtB7zXkFAuYqASdGBVIfITEfKRhMRYKAyplQIx4FplAApSAKKHiejqdTwCKpUAAGT4fRYmQUaMYwTCUTmi1APisPUcygAauwbL4vCIVmsNltQEJtvDEfVVAJQNDoOpfMR7qAGZx9GIJIwAD%2Dcf6gQwZUCk8lLABGPmhWo4Kh8oiF4r67QAYoCbI8slDoNADaJiIoOFqchi3KhoFTxFrpECzRAYJ4yJloMBUGYXj55eJlKJSDZBRIFIgnS96aRGABaADynGzABpOtDRPBs1zHKAAAqMUh%2B6AItFscoPJ1V7QuhoZLI5PKcD1gACKyHAoB0Bq%2BJugSnKfkUylzfsYfuEuW43AioEwDvYEIA0hk9L9ddBQO3tuhoT45aQ2HHQE5jSPwBjnM49vBzOoDQBtUaTNMAC6RBkJQVDOCQFDUKAv4xAA7BEVQgeg%2Bj0A27BsPQ9yMM4qFWBhjBYThsHDCESEodejaEvA7CwD4diHKy9z3NA8rLo%2B7SftApBxtALyQNwBq%2BMa5DQgu9r0BwbC5Ge3KgPMu6MASRJrkcJxyoqfTFkIbwtooYaVts7HsJoHAFD40B4WhhHEe0%2D7kchoAACIGH0LxSSwChaIMOjKCwTCgFexCWU28DGFCWhukxwiUl%2BDzybpmHiQoYbWQRZpEfA2H2SETl0lmCgwE4EKELaAhaqIjaKL5ZagNw8rMKokDPqOrBmJAqLuRZp5GZxzCKW8KnsGpxzKCZjBmRZVn4ehmV2cwDkUQp6hltJyqqmeh6MFCnhMKKAD71FomeqikLAKJ9FwvRyVWU6DXu8A0Ywo0nGiPglelc2ZFlOWLXlIGzKacBHnWLQLnI9ETsoT6UsVSacAJQnzkoZ5lXoFXGlYogNS0CVVpAOrwKxkFgTBcETHE8FOdxvFlvxiiCRwH59HT7mM0JsHU4hTmoBoWgTvoRiFMU4plBU47qKAL79XMv04a9Lh85o2i6ELxDGEFoulNCEvEFLMtTrM8sjYcY2kY5lEhcd4W9FFOTKmZnFSwc6l9GZmyfCoZi46eOlKfpqX49shO6iTysC2rBgayLJTiw8%2BvS21Rsmy9ZsnA5UQgesHCe%2DAXwVvJyDwB9%2BducQKh7WKTo3X1yx2IiKMqKdDw4mw%2DTDcwE1TSXVkR6rejR5rRRx7rCcG8n7TGwtiuwUkWdzMDsCgyeENQ7oyjyX6GPwDqzpKKAABykA1aWMNfqArtjSKHKfMamk0sWtZaS9u%2Bq4%2B52XQ6ATB6AOd59sbgkV7gNmcP3QWQ9Y5izHmeROhsp6p1nv%2BJyyBIBHTCtACQDEIQP1%2Ds%2DHor8tTvzOhdE6107RgP5gPdWw9tbx1gRPMcKcZ7p2UL%2BUkIFqzcCpP0dmChPLUkDgwEQDxcG3W2Pgkab8dAf1IVdH%2BfcqEQOFlrUerYGFJyYQglhbtYIcJcvKERPcqTWCEf8URCoaR9UkYQ4hn8yEKMoSrZRMdVHQPUZLTRstp7ZQVqw0iTlja7kESlYRrFQBiOsZYqRRCZEkK%2DuQvoTjI6DxUSPdxetGHeMQf45BIEpSwGpKISwCheqRPkjYkBdi5Hfxusk6hkC3E6w8XAyezAfF%2DSQfoy0dgJIwGEITCxWlxE1mibYuJ9j5F1PAVHNJdCYGePge0nJui8nYgEAQjMMIInRJGZU6Rxp4kOOmUo2Zrj0nNMyV45hvjTarIuCBKgOQzRaAGSIUQRyrrKHKVWfZsTDmTNqRQmZqTznzJaVkm5nTckPJLAZf4ogkqMCpOEn5EixlVImTUxJijnFnNoWoq5Sy5Y6PNms7au0vCTTQTbFuvBtC13kvMVaWQArvKAdDU6gKcX1JcQSjJ49rnaNuWne5Tlj6KGXg6MGupHxMEUA1REv9jaYoBdixxIKaFQMuYK4lHS%2DFipAmVF4gxGAlSFIwbgLV6b%2BzeIiiSxZ6KMV%2Dp8oFSTNWNIufQxZbSSUiqQWMJyh5pUnkLlWVAWpfKKARbeDg50TzKEVcC05oL%2BU6o0XqlZZLYURqjfwkRZ5CkFGEFmfsLruUapTVqpp3rWlaOWaSjOZEF4vmzFKK1SroDFgesiyA4T5KRm4GYgtFqN54y7ZXLw1cFF9WXLrMdp5eX4u1bWyFwroWrJ5tnW%2B%2Bd2B%2BA3g0cooBg3HhaLoAwZg%2BpSidBkcQ2QCZV33ZWvFqaV0LLrdkxtbDYVaCGsoVtJ6ZXZShBasMhkExJmUDuN4X56ZSu4SCAofUhzeD8LwItoZZEJOfSk6tXr31robf63J%2Bjf2PU0dmQDCamCbyrP%2DLY7QPK9XkuAaNfx3nVQULVb53DibuqrZ68FRLfX6rudmpy0HyM7kkPAEMPYzxvGcYyqs0mpByf4lgmAETePhwE3MwluqRNZqbeK7K7Jc4McYE%2DOsqh6DqbLFoWcEsmjtHwx4tFoBTA%2BkRayV1PKPX6YFRmozX6AmA2%2BLvFG9J2C6AAG8HXgMWejd8ZM7V%2DlKUUjA9rvIilqUgSGtMCmUFRs9PVlDvU%2BgFsFBngv1r9RuslANj0rxaBFQesU%2DT8Cegi7jzWQ0tGpO1nZwzbXJX3oZeSoc%2BO4tw4JmrPq6uidFWS%2DRAGWvsbeCih4AVvwnQXS69oJWjRldAHO8o%2B2ZsNMC%2Bmhbn7iObuWlfKQvDOA8BBAYYbj9xxKTPAFLMqgJtVg%2DVNkmtM%2BJIz%2DMMMYwx4i8z09VoLhpRIpT6AwaS7Al2vprQskSnmUeSXR%2D9JyYl96o88gitrMo4o2srHpUJv8Qf8ZfXhoTDxcck4kmjmSc9YcgVchUDy0lvLQF6wFKWHPUZc4p%2DkKnup6Z9SRUIpns3rvevZ%2Djrn9l9FA1YlK09Pg177qQ7DCXZPCdYx9vKcdxZICPrLSMxnl2%2BVvo8er0nBPue%2DkuI8550BuGxjqgMHQElWD5De11zgv9OyvFD693gEeJa1iaHZiWehUdR5PgoVULQusKGilh45ybmdzcR27znnl7KwqguBbMSfbOeCKT1ZUtup1PuU4AxqfX9cPDOxwC7mOWfzbL5Livi1YUobFBwYokhLHN%2Dh4YZuFW2yJkFCqg5nHartX%2B4D7Yveio%2BAqKTaCNB2ERCSEG9b2ZgBiTj3wAICL9vOCO1fm%2DXB4%2D3%2Deft0iEQYggSq5rfBZUWGJ7PobMF8AfRpQA3zC%2BEA6AMAtqX8KIH%2DECGWGAIqO6doHtLbM8CKcPGdeSNff5AvKZIvFXVxKA2KYA1hOAmWRA5A0ZF%2BVVOqPzfAqsCfTgESCrZvU6QUZAGCbucoaaCAlRCgziY0WA%2BAscOg4YQGAADz%2DTPDW36wP1Mi0BUEqi4C6hGXYG4H%2Bz3VJy7xlSRWwObl0LNT3GEPINn2gPEOoMkNgiQJkLx1vwjwRSui2Vs18wrXb0vmoJkjf3ewNE6wEHzTEF61fzeyLQ%2BTcjPAEPMl7if0v2vzD3f0EE%2DxOzoKa3%2DxdwlinFNw9zonWyVnnxyIeDyI11Hz1yAwcOiCclhAbmRQMPyM1yyyKNAEUwFh8NvDXE6lWikBkGDwPiwL7TZz9z0OUksLTW9XKPdxaKqITRqJCEBiXnW1EDTAKHUGs2T08DDW2Anz8Cnz7w3zPmLCeTtF2NAAAAk6IhAhIPluVo4MhiwOh5RIYIpdCfBhBopxY%2Bp9xUdh1YoPMjtDdoYVR2Bs9jsHABQSZn9kiXCP8xAv9%2Dwz8%2D8SjJQswLiJU887YWRKD2hktd1GBdB95bw%2DRJjMwcw%2BosTe8gD8Sd0vhiTFBSS2FHCQIOh%2DBl43Qa5I8%2D56SYsuAmS6w%2DRvZRB7BSlf565G53dDCTxNMuV1UTli8VECpKT5JqScTaTmACSGSBSFBmSajqZKJJo1CmUlITDVgRT7gxSVCpZtSwRSB%2DtOi7Rfj1sW9lBVQVwcTlcrtXEVTMTM8aToCtS%2BSiTdT9S6DDSZTwYlBIYjdlALTwAwyhT3Z6T1DowBAEsJ1CD355IWJd4zQ%2DdfAjR3BI0UpzF5TsMfCjs3TzxFBWhMyj9wI54F5Zh5DHpmA248RO5nBWy%2D0OzcQO4noiQ9EWytBRQ%2DAJQpR2sZ9FRlQKk6wejUQYAuCRAeyxyxRJyZc%2B0ZylRWR5ygR9AlyRQS5PDYp2EF5mjyccsty8TmAwd6YIdPtf48zeFxtl9INRkDzejlyTzlRfJNsYEey2zlJ2hOzBznoRyQIsRqQ%2BgnB2iqIhz2BOsAwIQwL8RELGAIomQD9%2DhnBoLrBYLlAChrYMLkLWJlA0LO4sLmRlRfxLZQBeQkQVzbzm57how2ZDIls%2BpLzCdR0ysJ1NMzBiAtQQp7c%2BpCteD%2BDlxjErJ8KaQ4LiLLJSL%2DRyL1l250LnpqKcLWQvdOEFzDyVZ98kN5JKc%2B0otJR2AJAEMXRyzZZ%2Bkvw6yOKHhgolKIKTF5LQAJomQJI8KYLaR4KSLnoyLAxKKMKtLcSuZloVS2KnpAwjsHgIoYBvMDtnTnJ5UFAk058lSNZPLlxvLUZfKCL%2DLFLO5grUKByNKiRwraKt0GCCEmD%2DJ6Bt9tIgoELnpz0vAsY7duTnz4AbBYtUpzKKVZMqVhdetON3jfgSY5LCKArXKiQyqKKKqqLGQaKdLarD5sofyPpbKWNshURmoKgoS0jwlwrf4hAIoWB5RPZFBm5HxJKaAl8rInQ2BQBrQEgogohnBQBQAFBQBm0vrMtgQzwfBQAYhvrIRQgIaDRhhwafqtRQgvqtRYo5BfgsxQAABiDcbG7gaG%2DQDTX3A0Q%2BZwHiOC96iGv6sYMYCGyQE%2BV5UAeCMICGvLcw5gL6n6jgJQNEUAOQCG1GwEZgDGmIYWkWiG0gCQOmjgRAf65wbhRMHmpgQwC9EDJA5ICGxzdgcoIBUgKWbIV%2BZmH6%2Dm9GjGiYU2s2sWiWuQcoaWpAwNZwKkRAUgKSUAcYoUWQk%2BA2lYMwN%2DR23IYG40Ymn65Yb2ngRAWC40AATQhqhAijLB6JTCPghoMGyEUC0FRvUCwSyC%2DDjToHgGeV0HtsGWLKNsFs%2BrLvZt%2BuIDgsDsruEFKXFBjyQKqCqAht0IdCtTkHjBgFEGzDLHXAhr8EyFpqttZArqhCpGFheuUFGArtFGEG0G4GlomBSCpD9FCm5sgDGhyEjpptxFAAmAht8jroNDGE%2BsLrXqVr%2BGUE3qkG3tACjp%2BqVBaDlHgCtpvTPAfoiV4nKEwz9DMJcB%2BqPpj1Pq%2BtXpLgkG%2Dq4DVCsDjQ3LPArozA3qklIFbuIFDNO26CzAAdOyhFtwgd%2DVABSEvvoETSzFFANAAHIIhCwKGIaX7eBZDQAKHaGfrEUNxiBGGKHQBAAagloc5vgDRFIA3DWhUEIeZtAArrkAkYhu2EBt7AaHkVvWDCQHIedETp%2BqN31jdB4U7sjq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</si>
</sst>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 &quot;EUR&quot;"/>
    <numFmt numFmtId="166" formatCode="yyyy\-mm\-dd"/>
    <numFmt numFmtId="167" formatCode="_-* #,##0.00\ [$€-407]_-;\-* #,##0.00\ [$€-407]_-;_-* &quot;-&quot;??\ [$€-407]_-;_-@_-"/>
    <numFmt numFmtId="168" formatCode="0.000000"/>
    <numFmt numFmtId="169" formatCode="0.000"/>
  </numFmts>
  <fonts count="16">
    <font>
      <sz val="11"/>
      <name val="Carlito"/>
    </font>
    <font>
      <sz val="11"/>
      <color rgb="FF1F2937"/>
      <name val="Carlito"/>
    </font>
    <font>
      <b/>
      <sz val="11"/>
      <color rgb="FFFFFFFF"/>
      <name val="Carlito"/>
    </font>
    <font>
      <b/>
      <sz val="11"/>
      <color rgb="FF1F2937"/>
      <name val="Carlito"/>
    </font>
    <font>
      <b/>
      <sz val="11"/>
      <name val="Carlito"/>
    </font>
    <font>
      <sz val="9"/>
      <color rgb="FF1F2937"/>
      <name val="Consolas"/>
    </font>
    <font>
      <sz val="11"/>
      <name val="Carlito"/>
    </font>
    <font>
      <sz val="9"/>
      <name val="Carlito"/>
    </font>
    <font>
      <sz val="10"/>
      <color rgb="FF233342"/>
      <name val="Aptos"/>
    </font>
    <font>
      <b/>
      <sz val="10"/>
      <color rgb="FFFFFFFF"/>
      <name val="Aptos Display"/>
    </font>
    <font>
      <sz val="9"/>
      <color rgb="FF233342"/>
      <name val="Aptos"/>
    </font>
    <font>
      <sz val="11"/>
      <color theme="10"/>
      <name val="Carlito"/>
    </font>
    <font>
      <sz val="10"/>
      <name val="Carlito"/>
    </font>
    <font>
      <b/>
      <sz val="12"/>
      <color rgb="FFFFFFFF"/>
      <name val="Carlito"/>
    </font>
    <font>
      <b/>
      <sz val="10"/>
      <color rgb="FFFFFFFF"/>
      <name val="Carlito"/>
    </font>
    <font>
      <b/>
      <sz val="11"/>
      <color rgb="FF000000"/>
      <name val="Carlito"/>
    </font>
  </fonts>
  <fills count="27">
    <fill>
      <patternFill patternType="none"/>
    </fill>
    <fill>
      <patternFill patternType="gray125"/>
    </fill>
    <fill>
      <patternFill patternType="solid">
        <fgColor rgb="FF1F4E78"/>
      </patternFill>
    </fill>
    <fill>
      <patternFill patternType="solid">
        <fgColor rgb="FFFFF2CC"/>
      </patternFill>
    </fill>
    <fill>
      <patternFill patternType="solid">
        <fgColor rgb="FFDDEBF7"/>
      </patternFill>
    </fill>
    <fill>
      <patternFill patternType="solid">
        <fgColor rgb="FFFCE4D6"/>
      </patternFill>
    </fill>
    <fill>
      <patternFill patternType="solid">
        <fgColor rgb="FFF2F2F2"/>
      </patternFill>
    </fill>
    <fill>
      <patternFill patternType="solid">
        <fgColor rgb="FF17365D"/>
      </patternFill>
    </fill>
    <fill>
      <patternFill patternType="solid">
        <fgColor rgb="FFDCE6F1"/>
      </patternFill>
    </fill>
    <fill>
      <patternFill patternType="solid">
        <fgColor rgb="FF2F6B66"/>
      </patternFill>
    </fill>
    <fill>
      <patternFill patternType="solid">
        <fgColor rgb="FFE2F0D9"/>
      </patternFill>
    </fill>
    <fill>
      <patternFill patternType="solid">
        <fgColor rgb="FFFAFAFA"/>
      </patternFill>
    </fill>
    <fill>
      <patternFill patternType="solid">
        <fgColor rgb="FFFFFFFF"/>
      </patternFill>
    </fill>
    <fill>
      <patternFill patternType="solid">
        <fgColor rgb="FFD9EEF7"/>
      </patternFill>
    </fill>
    <fill>
      <patternFill patternType="solid">
        <fgColor rgb="FF1F4E78"/>
      </patternFill>
    </fill>
    <fill>
      <patternFill patternType="solid">
        <fgColor rgb="FFFFFFFF"/>
      </patternFill>
    </fill>
    <fill>
      <patternFill patternType="solid">
        <fgColor rgb="FFF7FAFC"/>
      </patternFill>
    </fill>
    <fill>
      <patternFill patternType="solid">
        <fgColor rgb="FFF2F7FB"/>
      </patternFill>
    </fill>
    <fill>
      <patternFill patternType="solid">
        <fgColor rgb="FF1F4E78"/>
      </patternFill>
    </fill>
    <fill>
      <patternFill patternType="solid">
        <fgColor rgb="FFD9EAF7"/>
      </patternFill>
    </fill>
    <fill>
      <patternFill patternType="solid">
        <fgColor rgb="FFD9EEF7"/>
      </patternFill>
    </fill>
    <fill>
      <patternFill patternType="solid">
        <fgColor rgb="FF17365D"/>
      </patternFill>
    </fill>
    <fill>
      <patternFill patternType="solid">
        <fgColor rgb="FF1F4E78"/>
      </patternFill>
    </fill>
    <fill>
      <patternFill patternType="solid">
        <fgColor rgb="FFDCE6F1"/>
      </patternFill>
    </fill>
    <fill>
      <patternFill patternType="solid">
        <fgColor rgb="FF17365D"/>
      </patternFill>
    </fill>
    <fill>
      <patternFill patternType="solid">
        <fgColor rgb="FF1F4E78"/>
      </patternFill>
    </fill>
    <fill>
      <patternFill patternType="solid">
        <fgColor rgb="FFD9EAF7"/>
      </patternFill>
    </fill>
  </fills>
  <borders count="28">
    <border>
      <left/>
      <right/>
      <top/>
      <bottom/>
      <diagonal/>
    </border>
    <border>
      <left/>
      <right/>
      <top style="thin">
        <color rgb="FFD9E2E8"/>
      </top>
      <bottom style="thin">
        <color rgb="FFD9E2E8"/>
      </bottom>
      <diagonal/>
    </border>
    <border>
      <left/>
      <right/>
      <top style="thin">
        <color rgb="FFD9E2E8"/>
      </top>
      <bottom style="thin">
        <color rgb="FFB7C9D6"/>
      </bottom>
      <diagonal/>
    </border>
    <border>
      <left style="thin">
        <color rgb="FFB7C9D6"/>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D9E2E8"/>
      </bottom>
      <diagonal/>
    </border>
    <border>
      <left/>
      <right/>
      <top style="thin">
        <color rgb="FFB7C9D6"/>
      </top>
      <bottom style="thin">
        <color rgb="FFD9E2E8"/>
      </bottom>
      <diagonal/>
    </border>
    <border>
      <left/>
      <right style="thin">
        <color rgb="FFB7C9D6"/>
      </right>
      <top style="thin">
        <color rgb="FFB7C9D6"/>
      </top>
      <bottom style="thin">
        <color rgb="FFD9E2E8"/>
      </bottom>
      <diagonal/>
    </border>
    <border>
      <left style="thin">
        <color rgb="FFB7C9D6"/>
      </left>
      <right/>
      <top style="thin">
        <color rgb="FFD9E2E8"/>
      </top>
      <bottom style="thin">
        <color rgb="FFD9E2E8"/>
      </bottom>
      <diagonal/>
    </border>
    <border>
      <left/>
      <right style="thin">
        <color rgb="FFB7C9D6"/>
      </right>
      <top style="thin">
        <color rgb="FFD9E2E8"/>
      </top>
      <bottom style="thin">
        <color rgb="FFD9E2E8"/>
      </bottom>
      <diagonal/>
    </border>
    <border>
      <left style="thin">
        <color rgb="FFB7C9D6"/>
      </left>
      <right style="thin">
        <color rgb="FFB7C9D6"/>
      </right>
      <top style="thin">
        <color rgb="FFD9E2E8"/>
      </top>
      <bottom style="thin">
        <color rgb="FFD9E2E8"/>
      </bottom>
      <diagonal/>
    </border>
    <border>
      <left style="thin">
        <color rgb="FFB7C9D6"/>
      </left>
      <right/>
      <top style="thin">
        <color rgb="FFD9E2E8"/>
      </top>
      <bottom style="thin">
        <color rgb="FFB7C9D6"/>
      </bottom>
      <diagonal/>
    </border>
    <border>
      <left/>
      <right style="thin">
        <color rgb="FFB7C9D6"/>
      </right>
      <top style="thin">
        <color rgb="FFD9E2E8"/>
      </top>
      <bottom style="thin">
        <color rgb="FFB7C9D6"/>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right/>
      <top/>
      <bottom/>
      <diagonal/>
    </border>
    <border>
      <left/>
      <right/>
      <top/>
      <bottom/>
      <diagonal/>
    </border>
    <border>
      <left/>
      <right/>
      <top/>
      <bottom/>
      <diagonal/>
    </border>
    <border>
      <left style="thin">
        <color rgb="FFB7DDE8"/>
      </left>
      <right style="thin">
        <color rgb="FFB7DDE8"/>
      </right>
      <top style="thin">
        <color rgb="FFB7DDE8"/>
      </top>
      <bottom style="thin">
        <color rgb="FFB7DDE8"/>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right/>
      <top style="thin">
        <color rgb="FFB7C9D6"/>
      </top>
      <bottom/>
      <diagonal/>
    </border>
  </borders>
  <cellStyleXfs count="5">
    <xf numFmtId="0" fontId="0" fillId="0" borderId="0"/>
    <xf numFmtId="0" fontId="6" fillId="0" borderId="0"/>
    <xf numFmtId="0" fontId="11" fillId="0" borderId="0" applyNumberFormat="0" applyFill="0" applyBorder="0" applyAlignment="0" applyProtection="0"/>
    <xf numFmtId="0" fontId="6" fillId="0" borderId="17"/>
    <xf numFmtId="0" fontId="6" fillId="0" borderId="17"/>
  </cellStyleXfs>
  <cellXfs count="136">
    <xf numFmtId="0" fontId="0" fillId="0" borderId="0" xfId="0"/>
    <xf numFmtId="0" fontId="2" fillId="2" borderId="3" xfId="1" applyFont="1" applyFill="1" applyBorder="1" applyAlignment="1">
      <alignment horizontal="center" vertical="top" wrapText="1"/>
    </xf>
    <xf numFmtId="0" fontId="0" fillId="0" borderId="0" xfId="1" applyFont="1" applyAlignment="1">
      <alignment vertical="top" wrapText="1"/>
    </xf>
    <xf numFmtId="165" fontId="0" fillId="3" borderId="0" xfId="1" applyNumberFormat="1" applyFont="1" applyFill="1" applyAlignment="1">
      <alignment vertical="top" wrapText="1"/>
    </xf>
    <xf numFmtId="0" fontId="0" fillId="3" borderId="0" xfId="1" applyFont="1" applyFill="1" applyAlignment="1">
      <alignment vertical="top" wrapText="1"/>
    </xf>
    <xf numFmtId="166" fontId="0" fillId="0" borderId="0" xfId="1" applyNumberFormat="1" applyFont="1" applyAlignment="1">
      <alignment vertical="top" wrapText="1"/>
    </xf>
    <xf numFmtId="0" fontId="2" fillId="2" borderId="4" xfId="1" applyFont="1" applyFill="1" applyBorder="1" applyAlignment="1">
      <alignment horizontal="center" vertical="center" wrapText="1"/>
    </xf>
    <xf numFmtId="0" fontId="2" fillId="2" borderId="9" xfId="1" applyFont="1" applyFill="1" applyBorder="1" applyAlignment="1">
      <alignment horizontal="center" vertical="center" wrapText="1"/>
    </xf>
    <xf numFmtId="0" fontId="0" fillId="0" borderId="5" xfId="1" applyFont="1" applyBorder="1" applyAlignment="1">
      <alignment wrapText="1"/>
    </xf>
    <xf numFmtId="0" fontId="0" fillId="0" borderId="6" xfId="1" applyFont="1" applyBorder="1" applyAlignment="1">
      <alignment wrapText="1"/>
    </xf>
    <xf numFmtId="0" fontId="0" fillId="0" borderId="7" xfId="1" applyFont="1" applyBorder="1" applyAlignment="1">
      <alignment wrapText="1"/>
    </xf>
    <xf numFmtId="165" fontId="0" fillId="4" borderId="1" xfId="1" applyNumberFormat="1" applyFont="1" applyFill="1" applyBorder="1" applyAlignment="1">
      <alignment wrapText="1"/>
    </xf>
    <xf numFmtId="0" fontId="0" fillId="0" borderId="1" xfId="1" applyFont="1" applyBorder="1" applyAlignment="1">
      <alignment wrapText="1"/>
    </xf>
    <xf numFmtId="0" fontId="0" fillId="0" borderId="8" xfId="1" applyFont="1" applyBorder="1" applyAlignment="1">
      <alignment wrapText="1"/>
    </xf>
    <xf numFmtId="2" fontId="0" fillId="4" borderId="1" xfId="1" applyNumberFormat="1" applyFont="1" applyFill="1" applyBorder="1" applyAlignment="1">
      <alignment wrapText="1"/>
    </xf>
    <xf numFmtId="1" fontId="0" fillId="4" borderId="1" xfId="1" applyNumberFormat="1" applyFont="1" applyFill="1" applyBorder="1" applyAlignment="1">
      <alignment wrapText="1"/>
    </xf>
    <xf numFmtId="0" fontId="0" fillId="4" borderId="1" xfId="1" applyFont="1" applyFill="1" applyBorder="1" applyAlignment="1">
      <alignment wrapText="1"/>
    </xf>
    <xf numFmtId="2" fontId="0" fillId="4" borderId="8" xfId="1" applyNumberFormat="1" applyFont="1" applyFill="1" applyBorder="1" applyAlignment="1">
      <alignment wrapText="1"/>
    </xf>
    <xf numFmtId="0" fontId="4" fillId="8" borderId="0" xfId="1" applyFont="1" applyFill="1" applyAlignment="1">
      <alignment vertical="top"/>
    </xf>
    <xf numFmtId="0" fontId="2" fillId="2" borderId="0" xfId="1" applyFont="1" applyFill="1" applyAlignment="1">
      <alignment vertical="top"/>
    </xf>
    <xf numFmtId="0" fontId="7" fillId="12" borderId="0" xfId="0" applyFont="1" applyFill="1" applyAlignment="1">
      <alignment vertical="top" wrapText="1"/>
    </xf>
    <xf numFmtId="0" fontId="7" fillId="13" borderId="0" xfId="0" applyFont="1" applyFill="1" applyAlignment="1">
      <alignment vertical="top" wrapText="1"/>
    </xf>
    <xf numFmtId="166" fontId="7" fillId="13" borderId="0" xfId="0" applyNumberFormat="1" applyFont="1" applyFill="1" applyAlignment="1">
      <alignment vertical="top" wrapText="1"/>
    </xf>
    <xf numFmtId="0" fontId="10" fillId="15" borderId="15" xfId="0" applyFont="1" applyFill="1" applyBorder="1" applyAlignment="1">
      <alignment vertical="top" wrapText="1"/>
    </xf>
    <xf numFmtId="0" fontId="10" fillId="15" borderId="16" xfId="0" applyFont="1" applyFill="1" applyBorder="1" applyAlignment="1">
      <alignment vertical="top" wrapText="1"/>
    </xf>
    <xf numFmtId="0" fontId="10" fillId="15" borderId="17" xfId="0" applyFont="1" applyFill="1" applyBorder="1" applyAlignment="1">
      <alignment vertical="top" wrapText="1"/>
    </xf>
    <xf numFmtId="0" fontId="0" fillId="0" borderId="0" xfId="0" applyAlignment="1">
      <alignment vertical="top" wrapText="1"/>
    </xf>
    <xf numFmtId="0" fontId="0" fillId="0" borderId="0" xfId="0" applyAlignment="1">
      <alignment horizontal="left" vertical="center"/>
    </xf>
    <xf numFmtId="0" fontId="11" fillId="0" borderId="0" xfId="2" applyAlignment="1">
      <alignment vertical="top" wrapText="1"/>
    </xf>
    <xf numFmtId="0" fontId="2" fillId="14" borderId="3" xfId="1" applyFont="1" applyFill="1" applyBorder="1" applyAlignment="1">
      <alignment horizontal="center" vertical="center" wrapText="1"/>
    </xf>
    <xf numFmtId="0" fontId="6" fillId="0" borderId="17" xfId="4"/>
    <xf numFmtId="0" fontId="9" fillId="2" borderId="0" xfId="0" applyFont="1" applyFill="1" applyAlignment="1">
      <alignment horizontal="center" vertical="center" wrapText="1"/>
    </xf>
    <xf numFmtId="0" fontId="8" fillId="17" borderId="0" xfId="0" applyFont="1" applyFill="1" applyAlignment="1">
      <alignment vertical="top" wrapText="1"/>
    </xf>
    <xf numFmtId="0" fontId="0" fillId="0" borderId="0" xfId="0" applyAlignment="1">
      <alignment wrapText="1"/>
    </xf>
    <xf numFmtId="0" fontId="1" fillId="0" borderId="0" xfId="0" applyFont="1" applyAlignment="1">
      <alignment vertical="top" wrapText="1"/>
    </xf>
    <xf numFmtId="0" fontId="0" fillId="0" borderId="0" xfId="0" applyAlignment="1">
      <alignment vertical="top"/>
    </xf>
    <xf numFmtId="0" fontId="7" fillId="0" borderId="0" xfId="0" applyFont="1" applyAlignment="1">
      <alignment vertical="top" wrapText="1"/>
    </xf>
    <xf numFmtId="0" fontId="2" fillId="18" borderId="0" xfId="0" applyFont="1" applyFill="1" applyAlignment="1">
      <alignment horizontal="center" vertical="top" wrapText="1"/>
    </xf>
    <xf numFmtId="0" fontId="13" fillId="18" borderId="0" xfId="0" applyFont="1" applyFill="1" applyAlignment="1">
      <alignment vertical="center"/>
    </xf>
    <xf numFmtId="0" fontId="14" fillId="18" borderId="0" xfId="0" applyFont="1" applyFill="1" applyAlignment="1">
      <alignment horizontal="center" vertical="center" wrapText="1"/>
    </xf>
    <xf numFmtId="0" fontId="12" fillId="0" borderId="18" xfId="0" applyFont="1" applyBorder="1" applyAlignment="1">
      <alignment vertical="top" wrapText="1"/>
    </xf>
    <xf numFmtId="0" fontId="12" fillId="20" borderId="18" xfId="0" applyFont="1" applyFill="1" applyBorder="1" applyAlignment="1">
      <alignment vertical="top" wrapText="1"/>
    </xf>
    <xf numFmtId="0" fontId="2" fillId="21" borderId="0" xfId="0" applyFont="1" applyFill="1"/>
    <xf numFmtId="0" fontId="2" fillId="22" borderId="0" xfId="0" applyFont="1" applyFill="1" applyAlignment="1">
      <alignment wrapText="1"/>
    </xf>
    <xf numFmtId="0" fontId="0" fillId="23" borderId="0" xfId="0" applyFill="1" applyAlignment="1">
      <alignment wrapText="1"/>
    </xf>
    <xf numFmtId="0" fontId="4" fillId="23" borderId="0" xfId="0" applyFont="1" applyFill="1" applyAlignment="1">
      <alignment wrapText="1"/>
    </xf>
    <xf numFmtId="165" fontId="0" fillId="23" borderId="0" xfId="0" applyNumberFormat="1" applyFill="1" applyAlignment="1">
      <alignment wrapText="1"/>
    </xf>
    <xf numFmtId="165" fontId="4" fillId="23" borderId="0" xfId="0" applyNumberFormat="1" applyFont="1" applyFill="1" applyAlignment="1">
      <alignment wrapText="1"/>
    </xf>
    <xf numFmtId="0" fontId="2" fillId="2" borderId="3" xfId="0" applyFont="1" applyFill="1" applyBorder="1" applyAlignment="1">
      <alignment horizontal="center" vertical="center" wrapText="1"/>
    </xf>
    <xf numFmtId="0" fontId="1" fillId="0" borderId="1" xfId="0" applyFont="1" applyBorder="1" applyAlignment="1">
      <alignment vertical="top" wrapText="1"/>
    </xf>
    <xf numFmtId="2" fontId="1" fillId="3" borderId="1" xfId="0" applyNumberFormat="1" applyFont="1" applyFill="1" applyBorder="1" applyAlignment="1">
      <alignment vertical="top" wrapText="1"/>
    </xf>
    <xf numFmtId="164" fontId="1" fillId="3" borderId="1" xfId="0" applyNumberFormat="1" applyFont="1" applyFill="1" applyBorder="1" applyAlignment="1">
      <alignment vertical="top" wrapText="1"/>
    </xf>
    <xf numFmtId="2" fontId="1" fillId="4" borderId="1" xfId="0" applyNumberFormat="1" applyFont="1" applyFill="1" applyBorder="1" applyAlignment="1">
      <alignment vertical="top" wrapText="1"/>
    </xf>
    <xf numFmtId="165" fontId="1" fillId="3" borderId="1" xfId="0" applyNumberFormat="1" applyFont="1" applyFill="1" applyBorder="1" applyAlignment="1">
      <alignment vertical="top" wrapText="1"/>
    </xf>
    <xf numFmtId="165" fontId="1" fillId="4" borderId="1" xfId="0" applyNumberFormat="1" applyFont="1" applyFill="1" applyBorder="1" applyAlignment="1">
      <alignment vertical="top"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0" borderId="2" xfId="0" applyFont="1" applyBorder="1" applyAlignment="1">
      <alignment vertical="top" wrapText="1"/>
    </xf>
    <xf numFmtId="0" fontId="1" fillId="6" borderId="2" xfId="0" applyFont="1" applyFill="1" applyBorder="1" applyAlignment="1">
      <alignment vertical="top" wrapText="1"/>
    </xf>
    <xf numFmtId="2" fontId="1" fillId="3" borderId="2" xfId="0" applyNumberFormat="1" applyFont="1" applyFill="1" applyBorder="1" applyAlignment="1">
      <alignment vertical="top" wrapText="1"/>
    </xf>
    <xf numFmtId="164" fontId="1" fillId="3" borderId="2" xfId="0" applyNumberFormat="1" applyFont="1" applyFill="1" applyBorder="1" applyAlignment="1">
      <alignment vertical="top" wrapText="1"/>
    </xf>
    <xf numFmtId="2" fontId="1" fillId="4" borderId="2" xfId="0" applyNumberFormat="1" applyFont="1" applyFill="1" applyBorder="1" applyAlignment="1">
      <alignment vertical="top" wrapText="1"/>
    </xf>
    <xf numFmtId="165" fontId="1" fillId="3" borderId="2" xfId="0" applyNumberFormat="1" applyFont="1" applyFill="1" applyBorder="1" applyAlignment="1">
      <alignment vertical="top" wrapText="1"/>
    </xf>
    <xf numFmtId="165" fontId="1" fillId="4" borderId="2" xfId="0" applyNumberFormat="1" applyFont="1" applyFill="1" applyBorder="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9" fillId="2" borderId="0" xfId="0" applyFont="1" applyFill="1" applyAlignment="1">
      <alignment horizontal="left" vertical="center" wrapText="1"/>
    </xf>
    <xf numFmtId="0" fontId="8" fillId="12" borderId="0" xfId="0" applyFont="1" applyFill="1" applyAlignment="1">
      <alignment horizontal="left" vertical="top" wrapText="1"/>
    </xf>
    <xf numFmtId="0" fontId="8" fillId="12" borderId="0" xfId="0" applyFont="1" applyFill="1" applyAlignment="1">
      <alignment vertical="top" wrapText="1"/>
    </xf>
    <xf numFmtId="0" fontId="8" fillId="3" borderId="0" xfId="0" applyFont="1" applyFill="1" applyAlignment="1">
      <alignment horizontal="center" vertical="top" wrapText="1"/>
    </xf>
    <xf numFmtId="2" fontId="8" fillId="3" borderId="0" xfId="0" applyNumberFormat="1" applyFont="1" applyFill="1" applyAlignment="1">
      <alignment horizontal="right" vertical="top" wrapText="1"/>
    </xf>
    <xf numFmtId="2" fontId="8" fillId="4" borderId="0" xfId="0" applyNumberFormat="1" applyFont="1" applyFill="1" applyAlignment="1">
      <alignment horizontal="right" vertical="top" wrapText="1"/>
    </xf>
    <xf numFmtId="167" fontId="8" fillId="3" borderId="0" xfId="0" applyNumberFormat="1" applyFont="1" applyFill="1" applyAlignment="1">
      <alignment horizontal="right" vertical="top" wrapText="1"/>
    </xf>
    <xf numFmtId="167" fontId="8" fillId="4" borderId="0" xfId="0" applyNumberFormat="1" applyFont="1" applyFill="1" applyAlignment="1">
      <alignment horizontal="right" vertical="top" wrapText="1"/>
    </xf>
    <xf numFmtId="0" fontId="8" fillId="16" borderId="0" xfId="0" applyFont="1" applyFill="1" applyAlignment="1">
      <alignment horizontal="left" vertical="top" wrapText="1"/>
    </xf>
    <xf numFmtId="0" fontId="8" fillId="16" borderId="0" xfId="0" applyFont="1" applyFill="1" applyAlignment="1">
      <alignment vertical="top" wrapText="1"/>
    </xf>
    <xf numFmtId="0" fontId="12" fillId="16" borderId="0" xfId="0" applyFont="1" applyFill="1" applyAlignment="1">
      <alignment vertical="top" wrapText="1"/>
    </xf>
    <xf numFmtId="0" fontId="12" fillId="3" borderId="0" xfId="0" applyFont="1" applyFill="1" applyAlignment="1">
      <alignment horizontal="center" vertical="top" wrapText="1"/>
    </xf>
    <xf numFmtId="0" fontId="12" fillId="3" borderId="0" xfId="0" applyFont="1" applyFill="1" applyAlignment="1">
      <alignment horizontal="right" vertical="top" wrapText="1"/>
    </xf>
    <xf numFmtId="0" fontId="12" fillId="4" borderId="0" xfId="0" applyFont="1" applyFill="1" applyAlignment="1">
      <alignment horizontal="right" vertical="top" wrapText="1"/>
    </xf>
    <xf numFmtId="0" fontId="12" fillId="17" borderId="0" xfId="0" applyFont="1" applyFill="1" applyAlignment="1">
      <alignment vertical="top" wrapText="1"/>
    </xf>
    <xf numFmtId="165" fontId="8" fillId="3" borderId="0" xfId="0" applyNumberFormat="1" applyFont="1" applyFill="1" applyAlignment="1">
      <alignment horizontal="right" vertical="top" wrapText="1"/>
    </xf>
    <xf numFmtId="165" fontId="8" fillId="4" borderId="0" xfId="0" applyNumberFormat="1" applyFont="1" applyFill="1" applyAlignment="1">
      <alignment horizontal="right" vertical="top" wrapText="1"/>
    </xf>
    <xf numFmtId="0" fontId="2" fillId="2" borderId="0" xfId="1" applyFont="1" applyFill="1" applyAlignment="1">
      <alignment horizontal="left" vertical="top" wrapText="1"/>
    </xf>
    <xf numFmtId="0" fontId="0" fillId="0" borderId="0" xfId="0" applyAlignment="1">
      <alignment horizontal="left" vertical="top" wrapText="1"/>
    </xf>
    <xf numFmtId="1" fontId="0" fillId="0" borderId="0" xfId="0" applyNumberFormat="1" applyAlignment="1">
      <alignment wrapText="1"/>
    </xf>
    <xf numFmtId="168" fontId="8" fillId="3" borderId="0" xfId="0" applyNumberFormat="1" applyFont="1" applyFill="1" applyAlignment="1">
      <alignment horizontal="right" vertical="top" wrapText="1"/>
    </xf>
    <xf numFmtId="169" fontId="8" fillId="4" borderId="0" xfId="0" applyNumberFormat="1" applyFont="1" applyFill="1" applyAlignment="1">
      <alignment horizontal="right" vertical="top" wrapText="1"/>
    </xf>
    <xf numFmtId="168" fontId="0" fillId="0" borderId="0" xfId="0" applyNumberFormat="1" applyAlignment="1">
      <alignment wrapText="1"/>
    </xf>
    <xf numFmtId="169" fontId="0" fillId="0" borderId="0" xfId="0" applyNumberFormat="1" applyAlignment="1">
      <alignment wrapText="1"/>
    </xf>
    <xf numFmtId="0" fontId="0" fillId="0" borderId="7" xfId="0" applyBorder="1" applyAlignment="1">
      <alignment wrapText="1"/>
    </xf>
    <xf numFmtId="165" fontId="0" fillId="0" borderId="1" xfId="0" applyNumberFormat="1" applyBorder="1" applyAlignment="1">
      <alignment wrapText="1"/>
    </xf>
    <xf numFmtId="2" fontId="0" fillId="0" borderId="1" xfId="0" applyNumberFormat="1" applyBorder="1" applyAlignment="1">
      <alignment wrapText="1"/>
    </xf>
    <xf numFmtId="2" fontId="0" fillId="0" borderId="8" xfId="0" applyNumberFormat="1" applyBorder="1" applyAlignment="1">
      <alignment wrapText="1"/>
    </xf>
    <xf numFmtId="0" fontId="2" fillId="25" borderId="0" xfId="0" applyFont="1" applyFill="1" applyAlignment="1">
      <alignment horizontal="center" wrapText="1"/>
    </xf>
    <xf numFmtId="165" fontId="0" fillId="26" borderId="0" xfId="0" applyNumberFormat="1" applyFill="1" applyAlignment="1">
      <alignment wrapText="1"/>
    </xf>
    <xf numFmtId="165" fontId="15" fillId="26" borderId="0" xfId="0" applyNumberFormat="1" applyFont="1" applyFill="1" applyAlignment="1">
      <alignment wrapText="1"/>
    </xf>
    <xf numFmtId="0" fontId="2" fillId="25" borderId="22" xfId="0" applyFont="1" applyFill="1" applyBorder="1" applyAlignment="1">
      <alignment horizontal="center" wrapText="1"/>
    </xf>
    <xf numFmtId="0" fontId="2" fillId="25" borderId="23" xfId="0" applyFont="1" applyFill="1" applyBorder="1" applyAlignment="1">
      <alignment horizontal="center" wrapText="1"/>
    </xf>
    <xf numFmtId="0" fontId="0" fillId="26" borderId="22" xfId="0" applyFill="1" applyBorder="1" applyAlignment="1">
      <alignment wrapText="1"/>
    </xf>
    <xf numFmtId="165" fontId="0" fillId="26" borderId="23" xfId="0" applyNumberFormat="1" applyFill="1" applyBorder="1" applyAlignment="1">
      <alignment wrapText="1"/>
    </xf>
    <xf numFmtId="0" fontId="15" fillId="26" borderId="22" xfId="0" applyFont="1" applyFill="1" applyBorder="1" applyAlignment="1">
      <alignment wrapText="1"/>
    </xf>
    <xf numFmtId="165" fontId="15" fillId="26" borderId="23" xfId="0" applyNumberFormat="1" applyFont="1" applyFill="1" applyBorder="1" applyAlignment="1">
      <alignment wrapText="1"/>
    </xf>
    <xf numFmtId="0" fontId="15" fillId="26" borderId="24" xfId="0" applyFont="1" applyFill="1" applyBorder="1" applyAlignment="1">
      <alignment wrapText="1"/>
    </xf>
    <xf numFmtId="165" fontId="15" fillId="26" borderId="25" xfId="0" applyNumberFormat="1" applyFont="1" applyFill="1" applyBorder="1" applyAlignment="1">
      <alignment wrapText="1"/>
    </xf>
    <xf numFmtId="165" fontId="15" fillId="26" borderId="26" xfId="0" applyNumberFormat="1" applyFont="1" applyFill="1" applyBorder="1" applyAlignment="1">
      <alignment wrapText="1"/>
    </xf>
    <xf numFmtId="165" fontId="0" fillId="4" borderId="1" xfId="0" applyNumberFormat="1" applyFill="1" applyBorder="1" applyAlignment="1">
      <alignment wrapText="1"/>
    </xf>
    <xf numFmtId="0" fontId="0" fillId="0" borderId="0" xfId="0" applyAlignment="1">
      <alignment wrapText="1"/>
    </xf>
    <xf numFmtId="0" fontId="2" fillId="7" borderId="0" xfId="1" applyFont="1" applyFill="1" applyAlignment="1">
      <alignment horizontal="left" vertical="center"/>
    </xf>
    <xf numFmtId="0" fontId="0" fillId="8" borderId="0" xfId="1" applyFont="1" applyFill="1" applyAlignment="1">
      <alignment vertical="top" wrapText="1"/>
    </xf>
    <xf numFmtId="0" fontId="2" fillId="9" borderId="7" xfId="1" applyFont="1" applyFill="1" applyBorder="1" applyAlignment="1">
      <alignment wrapText="1"/>
    </xf>
    <xf numFmtId="0" fontId="2" fillId="9" borderId="1" xfId="1" applyFont="1" applyFill="1" applyBorder="1" applyAlignment="1">
      <alignment wrapText="1"/>
    </xf>
    <xf numFmtId="0" fontId="2" fillId="9" borderId="8" xfId="1" applyFont="1" applyFill="1" applyBorder="1" applyAlignment="1">
      <alignment wrapText="1"/>
    </xf>
    <xf numFmtId="0" fontId="0" fillId="0" borderId="7" xfId="1" applyFont="1" applyBorder="1" applyAlignment="1">
      <alignment vertical="top" wrapText="1"/>
    </xf>
    <xf numFmtId="0" fontId="0" fillId="0" borderId="1" xfId="1" applyFont="1" applyBorder="1" applyAlignment="1">
      <alignment vertical="top" wrapText="1"/>
    </xf>
    <xf numFmtId="0" fontId="0" fillId="0" borderId="8" xfId="1" applyFont="1" applyBorder="1" applyAlignment="1">
      <alignment vertical="top" wrapText="1"/>
    </xf>
    <xf numFmtId="0" fontId="0" fillId="0" borderId="10" xfId="1" applyFont="1" applyBorder="1" applyAlignment="1">
      <alignment vertical="top" wrapText="1"/>
    </xf>
    <xf numFmtId="0" fontId="0" fillId="0" borderId="2" xfId="1" applyFont="1" applyBorder="1" applyAlignment="1">
      <alignment vertical="top" wrapText="1"/>
    </xf>
    <xf numFmtId="0" fontId="0" fillId="0" borderId="11" xfId="1" applyFont="1" applyBorder="1" applyAlignment="1">
      <alignment vertical="top" wrapText="1"/>
    </xf>
    <xf numFmtId="0" fontId="2" fillId="24" borderId="19" xfId="0" applyFont="1" applyFill="1" applyBorder="1" applyAlignment="1">
      <alignment wrapText="1"/>
    </xf>
    <xf numFmtId="0" fontId="2" fillId="24" borderId="20" xfId="0" applyFont="1" applyFill="1" applyBorder="1" applyAlignment="1">
      <alignment wrapText="1"/>
    </xf>
    <xf numFmtId="0" fontId="2" fillId="24" borderId="21" xfId="0" applyFont="1" applyFill="1" applyBorder="1" applyAlignment="1">
      <alignment wrapText="1"/>
    </xf>
    <xf numFmtId="0" fontId="2" fillId="7" borderId="0" xfId="1" applyFont="1" applyFill="1" applyAlignment="1">
      <alignment vertical="center"/>
    </xf>
    <xf numFmtId="0" fontId="2" fillId="9" borderId="0" xfId="1" applyFont="1" applyFill="1" applyAlignment="1">
      <alignment vertical="top" wrapText="1"/>
    </xf>
    <xf numFmtId="0" fontId="0" fillId="5" borderId="0" xfId="1" applyFont="1" applyFill="1" applyAlignment="1">
      <alignment vertical="top" wrapText="1"/>
    </xf>
    <xf numFmtId="0" fontId="12" fillId="19" borderId="0" xfId="0" applyFont="1" applyFill="1" applyAlignment="1">
      <alignment vertical="center" wrapText="1"/>
    </xf>
    <xf numFmtId="0" fontId="5" fillId="11" borderId="12" xfId="1" applyFont="1" applyFill="1" applyBorder="1" applyAlignment="1">
      <alignment horizontal="left" vertical="top" wrapText="1"/>
    </xf>
    <xf numFmtId="0" fontId="5" fillId="11" borderId="13" xfId="1" applyFont="1" applyFill="1" applyBorder="1" applyAlignment="1">
      <alignment horizontal="left" vertical="top" wrapText="1"/>
    </xf>
    <xf numFmtId="0" fontId="5" fillId="11" borderId="14" xfId="1" applyFont="1" applyFill="1" applyBorder="1" applyAlignment="1">
      <alignment horizontal="left" vertical="top" wrapText="1"/>
    </xf>
    <xf numFmtId="0" fontId="0" fillId="0" borderId="0" xfId="1" applyFont="1" applyAlignment="1">
      <alignment horizontal="left" vertical="top" wrapText="1"/>
    </xf>
    <xf numFmtId="0" fontId="5" fillId="11" borderId="12" xfId="1" applyFont="1" applyFill="1" applyBorder="1" applyAlignment="1">
      <alignment vertical="top" wrapText="1"/>
    </xf>
    <xf numFmtId="0" fontId="5" fillId="11" borderId="13" xfId="1" applyFont="1" applyFill="1" applyBorder="1" applyAlignment="1">
      <alignment vertical="top" wrapText="1"/>
    </xf>
    <xf numFmtId="0" fontId="5" fillId="11" borderId="14" xfId="1" applyFont="1" applyFill="1" applyBorder="1" applyAlignment="1">
      <alignment vertical="top" wrapText="1"/>
    </xf>
    <xf numFmtId="0" fontId="3" fillId="10" borderId="0" xfId="1" applyFont="1" applyFill="1" applyAlignment="1">
      <alignment vertical="top"/>
    </xf>
    <xf numFmtId="0" fontId="2" fillId="7" borderId="0" xfId="1" applyFont="1" applyFill="1" applyAlignment="1">
      <alignment vertical="top"/>
    </xf>
    <xf numFmtId="0" fontId="0" fillId="0" borderId="27" xfId="0" applyBorder="1" applyAlignment="1">
      <alignment horizontal="left" vertical="top" wrapText="1"/>
    </xf>
  </cellXfs>
  <cellStyles count="5">
    <cellStyle name="Link" xfId="2" xr:uid="{00000000-0005-0000-0000-000000000000}"/>
    <cellStyle name="Normal" xfId="1" xr:uid="{00000000-0005-0000-0000-000001000000}"/>
    <cellStyle name="Normal 2" xfId="3" xr:uid="{00000000-0005-0000-0000-000002000000}"/>
    <cellStyle name="Standard" xfId="0" builtinId="0"/>
    <cellStyle name="Standard 2" xfId="4" xr:uid="{00000000-0005-0000-0000-000004000000}"/>
  </cellStyles>
  <dxfs count="32">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numFmt numFmtId="165" formatCode="#,##0.00\ &quot;EUR&quot;"/>
      <fill>
        <patternFill>
          <bgColor indexed="64"/>
        </patternFill>
      </fill>
    </dxf>
    <dxf>
      <font>
        <u val="none"/>
        <sz val="10"/>
        <color rgb="FF233342"/>
        <name val="Aptos"/>
        <scheme val="none"/>
      </font>
      <numFmt numFmtId="165" formatCode="#,##0.00\ &quot;EUR&quot;"/>
      <fill>
        <patternFill>
          <bgColor indexed="64"/>
        </patternFill>
      </fill>
    </dxf>
    <dxf>
      <font>
        <u val="none"/>
        <sz val="10"/>
        <color rgb="FF233342"/>
        <name val="Aptos"/>
        <scheme val="none"/>
      </font>
      <numFmt numFmtId="2" formatCode="0.00"/>
      <fill>
        <patternFill>
          <bgColor indexed="64"/>
        </patternFill>
      </fill>
    </dxf>
    <dxf>
      <font>
        <u val="none"/>
        <sz val="10"/>
        <color rgb="FF233342"/>
        <name val="Aptos"/>
        <scheme val="none"/>
      </font>
      <numFmt numFmtId="2" formatCode="0.00"/>
      <fill>
        <patternFill>
          <bgColor indexed="64"/>
        </patternFill>
      </fill>
    </dxf>
    <dxf>
      <font>
        <u val="none"/>
        <sz val="10"/>
        <color rgb="FF233342"/>
        <name val="Aptos"/>
        <scheme val="none"/>
      </font>
      <numFmt numFmtId="2" formatCode="0.00"/>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numFmt numFmtId="165" formatCode="#,##0.00\ &quot;EUR&quot;"/>
      <fill>
        <patternFill>
          <bgColor indexed="64"/>
        </patternFill>
      </fill>
    </dxf>
    <dxf>
      <font>
        <u val="none"/>
        <sz val="10"/>
        <color rgb="FF233342"/>
        <name val="Aptos"/>
        <scheme val="none"/>
      </font>
      <numFmt numFmtId="165" formatCode="#,##0.00\ &quot;EUR&quot;"/>
      <fill>
        <patternFill>
          <bgColor indexed="64"/>
        </patternFill>
      </fill>
    </dxf>
    <dxf>
      <font>
        <u val="none"/>
        <sz val="10"/>
        <color rgb="FF233342"/>
        <name val="Aptos"/>
        <scheme val="none"/>
      </font>
      <numFmt numFmtId="2" formatCode="0.00"/>
      <fill>
        <patternFill>
          <bgColor indexed="64"/>
        </patternFill>
      </fill>
    </dxf>
    <dxf>
      <font>
        <u val="none"/>
        <sz val="10"/>
        <color rgb="FF233342"/>
        <name val="Aptos"/>
        <scheme val="none"/>
      </font>
      <numFmt numFmtId="2" formatCode="0.00"/>
      <fill>
        <patternFill>
          <bgColor indexed="64"/>
        </patternFill>
      </fill>
    </dxf>
    <dxf>
      <font>
        <u val="none"/>
        <sz val="10"/>
        <color rgb="FF233342"/>
        <name val="Aptos"/>
        <scheme val="none"/>
      </font>
      <numFmt numFmtId="2" formatCode="0.00"/>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
      <font>
        <u val="none"/>
        <sz val="10"/>
        <color rgb="FF233342"/>
        <name val="Aptos"/>
        <scheme val="none"/>
      </font>
      <fill>
        <patternFill>
          <bgColor indexed="6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0000000}" name="tblQZBWZertSpez" displayName="tblQZBWZertSpez" ref="A1:O30" totalsRowShown="0" dataDxfId="31">
  <tableColumns count="15">
    <tableColumn id="1" xr3:uid="{00000000-0010-0000-0000-000001000000}" name="ID" dataDxfId="30"/>
    <tableColumn id="2" xr3:uid="{00000000-0010-0000-0000-000002000000}" name="Programm" dataDxfId="29"/>
    <tableColumn id="3" xr3:uid="{00000000-0010-0000-0000-000003000000}" name="Akteur" dataDxfId="28"/>
    <tableColumn id="4" xr3:uid="{00000000-0010-0000-0000-000004000000}" name="Rolle" dataDxfId="27"/>
    <tableColumn id="5" xr3:uid="{00000000-0010-0000-0000-000005000000}" name="Prozesskategorie" dataDxfId="26"/>
    <tableColumn id="7" xr3:uid="{00000000-0010-0000-0000-000007000000}" name="Administrative Tätigkeit (Objekt + Verb)" dataDxfId="25"/>
    <tableColumn id="6" xr3:uid="{00000000-0010-0000-0000-000006000000}" name="Fachliche Anforderung / erforderlicher Nachweis" dataDxfId="24"/>
    <tableColumn id="8" xr3:uid="{00000000-0010-0000-0000-000008000000}" name="Häufigkeit" dataDxfId="23"/>
    <tableColumn id="9" xr3:uid="{00000000-0010-0000-0000-000009000000}" name="Fallzahl / Bezugsgröße" dataDxfId="22"/>
    <tableColumn id="10" xr3:uid="{00000000-0010-0000-0000-00000A000000}" name="Zeitaufwand je Vorgang (Min.)" dataDxfId="21"/>
    <tableColumn id="11" xr3:uid="{00000000-0010-0000-0000-00000B000000}" name="Gesamter Zeitaufwand (Std.)" dataDxfId="20"/>
    <tableColumn id="12" xr3:uid="{00000000-0010-0000-0000-00000C000000}" name="Stundensatz (EUR/Std.)" dataDxfId="19"/>
    <tableColumn id="13" xr3:uid="{00000000-0010-0000-0000-00000D000000}" name="Arbeitszeitkosten (EUR)" dataDxfId="18"/>
    <tableColumn id="14" xr3:uid="{00000000-0010-0000-0000-00000E000000}" name="Quelldokument" dataDxfId="17"/>
    <tableColumn id="16" xr3:uid="{00000000-0010-0000-0000-000010000000}" name="Genaue Fundstelle"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tblBioZBWZertSpez" displayName="tblBioZBWZertSpez" ref="A1:P28" totalsRowShown="0">
  <tableColumns count="16">
    <tableColumn id="1" xr3:uid="{00000000-0010-0000-0100-000001000000}" name="ID" dataDxfId="15"/>
    <tableColumn id="2" xr3:uid="{00000000-0010-0000-0100-000002000000}" name="Programm" dataDxfId="14"/>
    <tableColumn id="3" xr3:uid="{00000000-0010-0000-0100-000003000000}" name="Akteur" dataDxfId="13"/>
    <tableColumn id="4" xr3:uid="{00000000-0010-0000-0100-000004000000}" name="Rolle" dataDxfId="12"/>
    <tableColumn id="5" xr3:uid="{00000000-0010-0000-0100-000005000000}" name="Prozesskategorie" dataDxfId="11"/>
    <tableColumn id="6" xr3:uid="{00000000-0010-0000-0100-000006000000}" name="Fachliche Anforderung / erforderlicher Nachweis" dataDxfId="10"/>
    <tableColumn id="7" xr3:uid="{00000000-0010-0000-0100-000007000000}" name="Administrative Tätigkeit (Objekt + Verb)" dataDxfId="9"/>
    <tableColumn id="8" xr3:uid="{00000000-0010-0000-0100-000008000000}" name="Häufigkeit" dataDxfId="8"/>
    <tableColumn id="9" xr3:uid="{00000000-0010-0000-0100-000009000000}" name="Fallzahl / Bezugsgröße" dataDxfId="7"/>
    <tableColumn id="10" xr3:uid="{00000000-0010-0000-0100-00000A000000}" name="Zeitaufwand je Vorgang (Min.)" dataDxfId="6"/>
    <tableColumn id="11" xr3:uid="{00000000-0010-0000-0100-00000B000000}" name="Gesamter Zeitaufwand (Std.)" dataDxfId="5"/>
    <tableColumn id="12" xr3:uid="{00000000-0010-0000-0100-00000C000000}" name="Stundensatz (EUR/Std.)" dataDxfId="4"/>
    <tableColumn id="13" xr3:uid="{00000000-0010-0000-0100-00000D000000}" name="Arbeitszeitkosten (EUR)" dataDxfId="3"/>
    <tableColumn id="14" xr3:uid="{00000000-0010-0000-0100-00000E000000}" name="Quelldokument" dataDxfId="2"/>
    <tableColumn id="15" xr3:uid="{00000000-0010-0000-0100-00000F000000}" name="Wörtliches Zitat" dataDxfId="1"/>
    <tableColumn id="16" xr3:uid="{00000000-0010-0000-0100-000010000000}" name="Genaue Fundstelle"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ostenAkteure" displayName="tblKostenAkteure" ref="A15:F20" totalsRowShown="0">
  <tableColumns count="6">
    <tableColumn id="1" xr3:uid="{00000000-0010-0000-0200-000001000000}" name="Akteursgruppe"/>
    <tableColumn id="2" xr3:uid="{00000000-0010-0000-0200-000002000000}" name="QZBW Kosten (EUR)"/>
    <tableColumn id="3" xr3:uid="{00000000-0010-0000-0200-000003000000}" name="BioZBW Kosten (EUR)"/>
    <tableColumn id="4" xr3:uid="{00000000-0010-0000-0200-000004000000}" name="Differenz (EUR)"/>
    <tableColumn id="5" xr3:uid="{00000000-0010-0000-0200-000005000000}" name="QZBW Zeit (Std.)"/>
    <tableColumn id="6" xr3:uid="{00000000-0010-0000-0200-000006000000}" name="BioZBW Zeit (St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KostenProzesse" displayName="tblKostenProzesse" ref="A23:D34" totalsRowShown="0">
  <tableColumns count="4">
    <tableColumn id="1" xr3:uid="{00000000-0010-0000-0300-000001000000}" name="Prozesskategorie"/>
    <tableColumn id="2" xr3:uid="{00000000-0010-0000-0300-000002000000}" name="QZBW Kosten (EUR)"/>
    <tableColumn id="3" xr3:uid="{00000000-0010-0000-0300-000003000000}" name="BioZBW Kosten (EUR)"/>
    <tableColumn id="4" xr3:uid="{00000000-0010-0000-0300-000004000000}" name="Differenz (EU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blKostenParameter" displayName="tblKostenParameter" ref="A37:E40" totalsRowShown="0">
  <tableColumns count="5">
    <tableColumn id="1" xr3:uid="{00000000-0010-0000-0400-000001000000}" name="Personaltyp"/>
    <tableColumn id="2" xr3:uid="{00000000-0010-0000-0400-000002000000}" name="Stundensatz (EUR/Std.)"/>
    <tableColumn id="3" xr3:uid="{00000000-0010-0000-0400-000003000000}" name="QZBW Summe Fallzahlen"/>
    <tableColumn id="4" xr3:uid="{00000000-0010-0000-0400-000004000000}" name="BioZBW Summe Fallzahlen"/>
    <tableColumn id="5" xr3:uid="{00000000-0010-0000-0400-000005000000}" name="Daten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blQuellenregister" displayName="tblQuellenregister" ref="A3:I14" totalsRowShown="0">
  <tableColumns count="9">
    <tableColumn id="1" xr3:uid="{00000000-0010-0000-0500-000001000000}" name="Quellen-ID"/>
    <tableColumn id="2" xr3:uid="{00000000-0010-0000-0500-000002000000}" name="Programm"/>
    <tableColumn id="3" xr3:uid="{00000000-0010-0000-0500-000003000000}" name="Dokumenttitel"/>
    <tableColumn id="4" xr3:uid="{00000000-0010-0000-0500-000004000000}" name="Version / Stand"/>
    <tableColumn id="5" xr3:uid="{00000000-0010-0000-0500-000005000000}" name="Dateiname"/>
    <tableColumn id="6" xr3:uid="{00000000-0010-0000-0500-000006000000}" name="Lokaler Speicherort"/>
    <tableColumn id="7" xr3:uid="{00000000-0010-0000-0500-000007000000}" name="Behandelte Akteursrollen"/>
    <tableColumn id="8" xr3:uid="{00000000-0010-0000-0500-000008000000}" name="Verwendung in der Kostenrechnung"/>
    <tableColumn id="9" xr3:uid="{00000000-0010-0000-0500-000009000000}" name="Bemerkunge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blAnnahmen" displayName="tblAnnahmen" ref="A6:J29" totalsRowShown="0">
  <tableColumns count="10">
    <tableColumn id="1" xr3:uid="{00000000-0010-0000-0600-000001000000}" name="Annahmen-ID"/>
    <tableColumn id="2" xr3:uid="{00000000-0010-0000-0600-000002000000}" name="Parameter"/>
    <tableColumn id="3" xr3:uid="{00000000-0010-0000-0600-000003000000}" name="Wert"/>
    <tableColumn id="4" xr3:uid="{00000000-0010-0000-0600-000004000000}" name="Einheit"/>
    <tableColumn id="5" xr3:uid="{00000000-0010-0000-0600-000005000000}" name="Betroffenes Programm"/>
    <tableColumn id="6" xr3:uid="{00000000-0010-0000-0600-000006000000}" name="Betroffener Akteur"/>
    <tableColumn id="7" xr3:uid="{00000000-0010-0000-0600-000007000000}" name="Begründung"/>
    <tableColumn id="8" xr3:uid="{00000000-0010-0000-0600-000008000000}" name="Quelle / Herleitung"/>
    <tableColumn id="9" xr3:uid="{00000000-0010-0000-0600-000009000000}" name="Unsicherheit"/>
    <tableColumn id="10" xr3:uid="{00000000-0010-0000-0600-00000A000000}" name="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blAusschlussregister" displayName="tblAusschlussregister" ref="A33:I60" totalsRowShown="0">
  <tableColumns count="9">
    <tableColumn id="1" xr3:uid="{00000000-0010-0000-0700-000001000000}" name="Ausschluss-ID"/>
    <tableColumn id="2" xr3:uid="{00000000-0010-0000-0700-000002000000}" name="Programm"/>
    <tableColumn id="3" xr3:uid="{00000000-0010-0000-0700-000003000000}" name="Ursprungszeile"/>
    <tableColumn id="4" xr3:uid="{00000000-0010-0000-0700-000004000000}" name="Ursprüngliche Position"/>
    <tableColumn id="5" xr3:uid="{00000000-0010-0000-0700-000005000000}" name="Ursprünglicher Betrag"/>
    <tableColumn id="6" xr3:uid="{00000000-0010-0000-0700-000006000000}" name="Ursprüngliche Quelle / Regelgrundlage"/>
    <tableColumn id="7" xr3:uid="{00000000-0010-0000-0700-000007000000}" name="Plausible ursprüngliche Aufnahmelogik"/>
    <tableColumn id="8" xr3:uid="{00000000-0010-0000-0700-000008000000}" name="Aktueller Prüfungsbefund / Ausschlussgrund"/>
    <tableColumn id="9" xr3:uid="{00000000-0010-0000-0700-000009000000}" name="Aktuelle Behandlung"/>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blPruefprotokoll" displayName="tblPruefprotokoll" ref="A4:F30" totalsRowShown="0">
  <tableColumns count="6">
    <tableColumn id="1" xr3:uid="{00000000-0010-0000-0800-000001000000}" name="Datum"/>
    <tableColumn id="2" xr3:uid="{00000000-0010-0000-0800-000002000000}" name="Änderung / Prüfung"/>
    <tableColumn id="3" xr3:uid="{00000000-0010-0000-0800-000003000000}" name="Ausgangsproblem"/>
    <tableColumn id="4" xr3:uid="{00000000-0010-0000-0800-000004000000}" name="Vorgenommene Lösung"/>
    <tableColumn id="5" xr3:uid="{00000000-0010-0000-0800-000005000000}" name="Betroffene Blätter / Positionen"/>
    <tableColumn id="6" xr3:uid="{00000000-0010-0000-0800-000006000000}" name="Noch offene Frag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9000000}" name="tblAnforderungenQZBW" displayName="tblAnforderungenQZBW" ref="A1:AA53" totalsRowShown="0">
  <autoFilter ref="A1:AA53" xr:uid="{00000000-0009-0000-0100-000001000000}">
    <filterColumn colId="8">
      <filters>
        <filter val="Ja"/>
      </filters>
    </filterColumn>
  </autoFilter>
  <tableColumns count="27">
    <tableColumn id="1" xr3:uid="{00000000-0010-0000-0900-000001000000}" name="ID"/>
    <tableColumn id="2" xr3:uid="{00000000-0010-0000-0900-000002000000}" name="Programm"/>
    <tableColumn id="3" xr3:uid="{00000000-0010-0000-0900-000003000000}" name="Akteur"/>
    <tableColumn id="4" xr3:uid="{00000000-0010-0000-0900-000004000000}" name="Rolle"/>
    <tableColumn id="5" xr3:uid="{00000000-0010-0000-0900-000005000000}" name="Prozesskategorie"/>
    <tableColumn id="6" xr3:uid="{00000000-0010-0000-0900-000006000000}" name="Fachliche Anforderung / erforderlicher Nachweis"/>
    <tableColumn id="7" xr3:uid="{00000000-0010-0000-0900-000007000000}" name="Administrative Tätigkeit (Objekt + Verb)"/>
    <tableColumn id="8" xr3:uid="{00000000-0010-0000-0900-000008000000}" name="Ohnehin bestehende Pflicht / Referenzzustand"/>
    <tableColumn id="9" xr3:uid="{00000000-0010-0000-0900-000009000000}" name="Zertifizierungsspezifischer Zusatzaufwand"/>
    <tableColumn id="10" xr3:uid="{00000000-0010-0000-0900-00000A000000}" name="In enger Kostenrechnung enthalten"/>
    <tableColumn id="11" xr3:uid="{00000000-0010-0000-0900-00000B000000}" name="Häufigkeit"/>
    <tableColumn id="12" xr3:uid="{00000000-0010-0000-0900-00000C000000}" name="Fallzahl / Bezugsgröße"/>
    <tableColumn id="13" xr3:uid="{00000000-0010-0000-0900-00000D000000}" name="Zeitaufwand je Vorgang (Min.)"/>
    <tableColumn id="14" xr3:uid="{00000000-0010-0000-0900-00000E000000}" name="Gesamter Zeitaufwand (Std.)">
      <calculatedColumnFormula>IF(OR(L2="",M2=""),"",L2*M2/60)</calculatedColumnFormula>
    </tableColumn>
    <tableColumn id="15" xr3:uid="{00000000-0010-0000-0900-00000F000000}" name="Stundensatz (EUR/Std.)"/>
    <tableColumn id="16" xr3:uid="{00000000-0010-0000-0900-000010000000}" name="Arbeitszeitkosten (EUR)">
      <calculatedColumnFormula>IF(OR(N2="",O2=""),"",N2*O2)</calculatedColumnFormula>
    </tableColumn>
    <tableColumn id="17" xr3:uid="{00000000-0010-0000-0900-000011000000}" name="Datenstatus"/>
    <tableColumn id="18" xr3:uid="{00000000-0010-0000-0900-000012000000}" name="Annahme oder empirischer Wert"/>
    <tableColumn id="19" xr3:uid="{00000000-0010-0000-0900-000013000000}" name="Zahlenherkunft"/>
    <tableColumn id="20" xr3:uid="{00000000-0010-0000-0900-000014000000}" name="Übertragungsstatus"/>
    <tableColumn id="21" xr3:uid="{00000000-0010-0000-0900-000015000000}" name="Begründung der Annahme"/>
    <tableColumn id="22" xr3:uid="{00000000-0010-0000-0900-000016000000}" name="Quelldokument"/>
    <tableColumn id="23" xr3:uid="{00000000-0010-0000-0900-000017000000}" name="Wörtliches Zitat"/>
    <tableColumn id="24" xr3:uid="{00000000-0010-0000-0900-000018000000}" name="Genaue Fundstelle"/>
    <tableColumn id="25" xr3:uid="{00000000-0010-0000-0900-000019000000}" name="Kommentar / offene Frage"/>
    <tableColumn id="26" xr3:uid="{00000000-0010-0000-0900-00001A000000}" name="Quelldaten-Zeile"/>
    <tableColumn id="27" xr3:uid="{00000000-0010-0000-0900-00001B000000}" name="Kostenperspektive / Gebührenabgrenzung"/>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blAnforderungenBioZBW" displayName="tblAnforderungenBioZBW" ref="A1:AA47" totalsRowShown="0">
  <autoFilter ref="A1:AA47" xr:uid="{00000000-0009-0000-0100-00000C000000}"/>
  <tableColumns count="27">
    <tableColumn id="1" xr3:uid="{00000000-0010-0000-0A00-000001000000}" name="ID"/>
    <tableColumn id="2" xr3:uid="{00000000-0010-0000-0A00-000002000000}" name="Programm"/>
    <tableColumn id="3" xr3:uid="{00000000-0010-0000-0A00-000003000000}" name="Akteur"/>
    <tableColumn id="4" xr3:uid="{00000000-0010-0000-0A00-000004000000}" name="Rolle"/>
    <tableColumn id="5" xr3:uid="{00000000-0010-0000-0A00-000005000000}" name="Prozesskategorie"/>
    <tableColumn id="6" xr3:uid="{00000000-0010-0000-0A00-000006000000}" name="Fachliche Anforderung / erforderlicher Nachweis"/>
    <tableColumn id="7" xr3:uid="{00000000-0010-0000-0A00-000007000000}" name="Administrative Tätigkeit (Objekt + Verb)"/>
    <tableColumn id="8" xr3:uid="{00000000-0010-0000-0A00-000008000000}" name="Ohnehin bestehende Pflicht / Referenzzustand"/>
    <tableColumn id="9" xr3:uid="{00000000-0010-0000-0A00-000009000000}" name="Zertifizierungsspezifischer Zusatzaufwand"/>
    <tableColumn id="10" xr3:uid="{00000000-0010-0000-0A00-00000A000000}" name="In enger Kostenrechnung enthalten"/>
    <tableColumn id="11" xr3:uid="{00000000-0010-0000-0A00-00000B000000}" name="Häufigkeit"/>
    <tableColumn id="12" xr3:uid="{00000000-0010-0000-0A00-00000C000000}" name="Fallzahl / Bezugsgröße"/>
    <tableColumn id="13" xr3:uid="{00000000-0010-0000-0A00-00000D000000}" name="Zeitaufwand je Vorgang (Min.)"/>
    <tableColumn id="14" xr3:uid="{00000000-0010-0000-0A00-00000E000000}" name="Gesamter Zeitaufwand (Std.)">
      <calculatedColumnFormula>IF(OR(L2="",M2=""),"",L2*M2/60)</calculatedColumnFormula>
    </tableColumn>
    <tableColumn id="15" xr3:uid="{00000000-0010-0000-0A00-00000F000000}" name="Stundensatz (EUR/Std.)"/>
    <tableColumn id="16" xr3:uid="{00000000-0010-0000-0A00-000010000000}" name="Arbeitszeitkosten (EUR)">
      <calculatedColumnFormula>IF(OR(N2="",O2=""),"",N2*O2)</calculatedColumnFormula>
    </tableColumn>
    <tableColumn id="17" xr3:uid="{00000000-0010-0000-0A00-000011000000}" name="Datenstatus"/>
    <tableColumn id="18" xr3:uid="{00000000-0010-0000-0A00-000012000000}" name="Annahme oder empirischer Wert"/>
    <tableColumn id="19" xr3:uid="{00000000-0010-0000-0A00-000013000000}" name="Zahlenherkunft"/>
    <tableColumn id="20" xr3:uid="{00000000-0010-0000-0A00-000014000000}" name="Übertragungsstatus"/>
    <tableColumn id="21" xr3:uid="{00000000-0010-0000-0A00-000015000000}" name="Begründung der Annahme"/>
    <tableColumn id="22" xr3:uid="{00000000-0010-0000-0A00-000016000000}" name="Quelldokument"/>
    <tableColumn id="23" xr3:uid="{00000000-0010-0000-0A00-000017000000}" name="Wörtliches Zitat"/>
    <tableColumn id="24" xr3:uid="{00000000-0010-0000-0A00-000018000000}" name="Genaue Fundstelle"/>
    <tableColumn id="25" xr3:uid="{00000000-0010-0000-0A00-000019000000}" name="Kommentar / offene Frage"/>
    <tableColumn id="26" xr3:uid="{00000000-0010-0000-0A00-00001A000000}" name="Quelldaten-Zeile"/>
    <tableColumn id="27" xr3:uid="{00000000-0010-0000-0A00-00001B000000}" name="Kostenperspektive / Gebührenabgrenzung"/>
  </tableColumns>
  <tableStyleInfo name="TableStyleMedium2"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hyperlink" Target="https://mbw.imageplant.de/"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5"/>
  <sheetViews>
    <sheetView workbookViewId="0"/>
  </sheetViews>
  <sheetFormatPr baseColWidth="10" defaultColWidth="9.140625" defaultRowHeight="14.15"/>
  <cols>
    <col min="1" max="1" width="7.85546875" customWidth="1"/>
    <col min="2" max="2" width="11.5" customWidth="1"/>
    <col min="3" max="3" width="23" customWidth="1"/>
    <col min="4" max="4" width="27.85546875" customWidth="1"/>
    <col min="5" max="5" width="24" customWidth="1"/>
    <col min="6" max="6" width="24.35546875" customWidth="1"/>
    <col min="7" max="7" width="27.78515625" customWidth="1"/>
    <col min="8" max="8" width="11.85546875" customWidth="1"/>
    <col min="9" max="9" width="9.5703125" customWidth="1"/>
    <col min="10" max="10" width="8.5" customWidth="1"/>
    <col min="11" max="11" width="9.85546875" customWidth="1"/>
    <col min="12" max="12" width="11.5" customWidth="1"/>
    <col min="13" max="13" width="7.7109375" customWidth="1"/>
    <col min="14" max="14" width="31" customWidth="1"/>
    <col min="15" max="15" width="21.7109375" customWidth="1"/>
    <col min="16" max="16" width="48" customWidth="1"/>
  </cols>
  <sheetData>
    <row r="1" spans="1:16" s="27" customFormat="1" ht="51.45">
      <c r="A1" s="66" t="s">
        <v>0</v>
      </c>
      <c r="B1" s="66" t="s">
        <v>1</v>
      </c>
      <c r="C1" s="66" t="s">
        <v>2</v>
      </c>
      <c r="D1" s="66" t="s">
        <v>3</v>
      </c>
      <c r="E1" s="66" t="s">
        <v>4</v>
      </c>
      <c r="F1" s="66" t="s">
        <v>5</v>
      </c>
      <c r="G1" s="66" t="s">
        <v>6</v>
      </c>
      <c r="H1" s="66" t="s">
        <v>7</v>
      </c>
      <c r="I1" s="66" t="s">
        <v>8</v>
      </c>
      <c r="J1" s="66" t="s">
        <v>9</v>
      </c>
      <c r="K1" s="66" t="s">
        <v>10</v>
      </c>
      <c r="L1" s="66" t="s">
        <v>11</v>
      </c>
      <c r="M1" s="66" t="s">
        <v>12</v>
      </c>
      <c r="N1" s="66" t="s">
        <v>13</v>
      </c>
      <c r="O1" s="66" t="s">
        <v>14</v>
      </c>
      <c r="P1" s="66" t="s">
        <v>15</v>
      </c>
    </row>
    <row r="2" spans="1:16" ht="64.3">
      <c r="A2" s="67" t="s">
        <v>16</v>
      </c>
      <c r="B2" s="67" t="s">
        <v>17</v>
      </c>
      <c r="C2" s="68" t="s">
        <v>18</v>
      </c>
      <c r="D2" s="68" t="s">
        <v>19</v>
      </c>
      <c r="E2" s="68" t="s">
        <v>20</v>
      </c>
      <c r="F2" s="68" t="s">
        <v>21</v>
      </c>
      <c r="G2" s="68" t="s">
        <v>22</v>
      </c>
      <c r="H2" s="69" t="s">
        <v>23</v>
      </c>
      <c r="I2" s="70">
        <v>1</v>
      </c>
      <c r="J2" s="70">
        <v>15</v>
      </c>
      <c r="K2" s="71">
        <v>0.25</v>
      </c>
      <c r="L2" s="72">
        <v>50</v>
      </c>
      <c r="M2" s="73">
        <v>12.5</v>
      </c>
      <c r="N2" s="32" t="s">
        <v>24</v>
      </c>
      <c r="O2" s="32" t="s">
        <v>25</v>
      </c>
      <c r="P2" s="32" t="s">
        <v>26</v>
      </c>
    </row>
    <row r="3" spans="1:16" ht="51.45">
      <c r="A3" s="74" t="s">
        <v>27</v>
      </c>
      <c r="B3" s="74" t="s">
        <v>17</v>
      </c>
      <c r="C3" s="75" t="s">
        <v>18</v>
      </c>
      <c r="D3" s="75" t="s">
        <v>19</v>
      </c>
      <c r="E3" s="75" t="s">
        <v>28</v>
      </c>
      <c r="F3" s="75" t="s">
        <v>29</v>
      </c>
      <c r="G3" s="75" t="s">
        <v>30</v>
      </c>
      <c r="H3" s="69" t="s">
        <v>23</v>
      </c>
      <c r="I3" s="70">
        <v>1</v>
      </c>
      <c r="J3" s="70">
        <v>30</v>
      </c>
      <c r="K3" s="71">
        <v>0.5</v>
      </c>
      <c r="L3" s="72">
        <v>50</v>
      </c>
      <c r="M3" s="73">
        <v>25</v>
      </c>
      <c r="N3" s="32" t="s">
        <v>31</v>
      </c>
      <c r="O3" s="32" t="s">
        <v>32</v>
      </c>
      <c r="P3" s="32" t="s">
        <v>33</v>
      </c>
    </row>
    <row r="4" spans="1:16" ht="64.3">
      <c r="A4" s="67" t="s">
        <v>34</v>
      </c>
      <c r="B4" s="67" t="s">
        <v>17</v>
      </c>
      <c r="C4" s="68" t="s">
        <v>18</v>
      </c>
      <c r="D4" s="68" t="s">
        <v>19</v>
      </c>
      <c r="E4" s="68" t="s">
        <v>28</v>
      </c>
      <c r="F4" s="68" t="s">
        <v>35</v>
      </c>
      <c r="G4" s="68" t="s">
        <v>36</v>
      </c>
      <c r="H4" s="69" t="s">
        <v>23</v>
      </c>
      <c r="I4" s="70">
        <v>1</v>
      </c>
      <c r="J4" s="70">
        <v>60</v>
      </c>
      <c r="K4" s="71">
        <v>1</v>
      </c>
      <c r="L4" s="72">
        <v>50</v>
      </c>
      <c r="M4" s="73">
        <v>50</v>
      </c>
      <c r="N4" s="32" t="s">
        <v>37</v>
      </c>
      <c r="O4" s="32" t="s">
        <v>38</v>
      </c>
      <c r="P4" s="32" t="s">
        <v>39</v>
      </c>
    </row>
    <row r="5" spans="1:16" ht="38.6">
      <c r="A5" s="74" t="s">
        <v>40</v>
      </c>
      <c r="B5" s="74" t="s">
        <v>17</v>
      </c>
      <c r="C5" s="75" t="s">
        <v>18</v>
      </c>
      <c r="D5" s="75" t="s">
        <v>19</v>
      </c>
      <c r="E5" s="75" t="s">
        <v>28</v>
      </c>
      <c r="F5" s="75" t="s">
        <v>41</v>
      </c>
      <c r="G5" s="75" t="s">
        <v>42</v>
      </c>
      <c r="H5" s="69" t="s">
        <v>23</v>
      </c>
      <c r="I5" s="70">
        <v>1</v>
      </c>
      <c r="J5" s="70">
        <v>15</v>
      </c>
      <c r="K5" s="71">
        <v>0.25</v>
      </c>
      <c r="L5" s="72">
        <v>50</v>
      </c>
      <c r="M5" s="73">
        <v>12.5</v>
      </c>
      <c r="N5" s="32" t="s">
        <v>43</v>
      </c>
      <c r="O5" s="32" t="s">
        <v>44</v>
      </c>
      <c r="P5" s="32" t="s">
        <v>45</v>
      </c>
    </row>
    <row r="6" spans="1:16" ht="38.6">
      <c r="A6" s="67" t="s">
        <v>46</v>
      </c>
      <c r="B6" s="67" t="s">
        <v>17</v>
      </c>
      <c r="C6" s="68" t="s">
        <v>47</v>
      </c>
      <c r="D6" s="68" t="s">
        <v>48</v>
      </c>
      <c r="E6" s="68" t="s">
        <v>20</v>
      </c>
      <c r="F6" s="68" t="s">
        <v>49</v>
      </c>
      <c r="G6" s="68" t="s">
        <v>50</v>
      </c>
      <c r="H6" s="69" t="s">
        <v>23</v>
      </c>
      <c r="I6" s="70">
        <v>1</v>
      </c>
      <c r="J6" s="70">
        <v>15</v>
      </c>
      <c r="K6" s="71">
        <v>0.25</v>
      </c>
      <c r="L6" s="72">
        <v>50</v>
      </c>
      <c r="M6" s="73">
        <v>12.5</v>
      </c>
      <c r="N6" s="32" t="s">
        <v>51</v>
      </c>
      <c r="O6" s="32" t="s">
        <v>52</v>
      </c>
      <c r="P6" s="32" t="s">
        <v>53</v>
      </c>
    </row>
    <row r="7" spans="1:16" ht="38.6">
      <c r="A7" s="74" t="s">
        <v>54</v>
      </c>
      <c r="B7" s="74" t="s">
        <v>17</v>
      </c>
      <c r="C7" s="75" t="s">
        <v>47</v>
      </c>
      <c r="D7" s="75" t="s">
        <v>55</v>
      </c>
      <c r="E7" s="75" t="s">
        <v>20</v>
      </c>
      <c r="F7" s="75" t="s">
        <v>56</v>
      </c>
      <c r="G7" s="75" t="s">
        <v>57</v>
      </c>
      <c r="H7" s="69" t="s">
        <v>23</v>
      </c>
      <c r="I7" s="70">
        <v>1</v>
      </c>
      <c r="J7" s="70">
        <v>30</v>
      </c>
      <c r="K7" s="71">
        <v>0.5</v>
      </c>
      <c r="L7" s="72">
        <v>50</v>
      </c>
      <c r="M7" s="73">
        <v>25</v>
      </c>
      <c r="N7" s="32" t="s">
        <v>31</v>
      </c>
      <c r="O7" s="32" t="s">
        <v>58</v>
      </c>
      <c r="P7" s="32" t="s">
        <v>59</v>
      </c>
    </row>
    <row r="8" spans="1:16" ht="38.6">
      <c r="A8" s="67" t="s">
        <v>60</v>
      </c>
      <c r="B8" s="67" t="s">
        <v>17</v>
      </c>
      <c r="C8" s="68" t="s">
        <v>47</v>
      </c>
      <c r="D8" s="68" t="s">
        <v>55</v>
      </c>
      <c r="E8" s="68" t="s">
        <v>28</v>
      </c>
      <c r="F8" s="68" t="s">
        <v>61</v>
      </c>
      <c r="G8" s="68" t="s">
        <v>62</v>
      </c>
      <c r="H8" s="69" t="s">
        <v>23</v>
      </c>
      <c r="I8" s="70">
        <v>1</v>
      </c>
      <c r="J8" s="70">
        <v>7.5</v>
      </c>
      <c r="K8" s="71">
        <v>0.125</v>
      </c>
      <c r="L8" s="72">
        <v>50</v>
      </c>
      <c r="M8" s="73">
        <v>6.25</v>
      </c>
      <c r="N8" s="32" t="s">
        <v>63</v>
      </c>
      <c r="O8" s="32" t="s">
        <v>64</v>
      </c>
      <c r="P8" s="32" t="s">
        <v>65</v>
      </c>
    </row>
    <row r="9" spans="1:16" ht="90">
      <c r="A9" s="74" t="s">
        <v>66</v>
      </c>
      <c r="B9" s="74" t="s">
        <v>17</v>
      </c>
      <c r="C9" s="75" t="s">
        <v>47</v>
      </c>
      <c r="D9" s="75" t="s">
        <v>48</v>
      </c>
      <c r="E9" s="75" t="s">
        <v>28</v>
      </c>
      <c r="F9" s="75" t="s">
        <v>67</v>
      </c>
      <c r="G9" s="75" t="s">
        <v>68</v>
      </c>
      <c r="H9" s="69" t="s">
        <v>23</v>
      </c>
      <c r="I9" s="70">
        <v>1</v>
      </c>
      <c r="J9" s="70">
        <v>240</v>
      </c>
      <c r="K9" s="71">
        <v>4</v>
      </c>
      <c r="L9" s="72">
        <v>30</v>
      </c>
      <c r="M9" s="73">
        <v>120</v>
      </c>
      <c r="N9" s="32" t="s">
        <v>51</v>
      </c>
      <c r="O9" s="32" t="s">
        <v>69</v>
      </c>
      <c r="P9" s="32" t="s">
        <v>70</v>
      </c>
    </row>
    <row r="10" spans="1:16" ht="38.6">
      <c r="A10" s="67" t="s">
        <v>71</v>
      </c>
      <c r="B10" s="67" t="s">
        <v>17</v>
      </c>
      <c r="C10" s="68" t="s">
        <v>47</v>
      </c>
      <c r="D10" s="68" t="s">
        <v>55</v>
      </c>
      <c r="E10" s="68" t="s">
        <v>72</v>
      </c>
      <c r="F10" s="68" t="s">
        <v>73</v>
      </c>
      <c r="G10" s="68" t="s">
        <v>74</v>
      </c>
      <c r="H10" s="69" t="s">
        <v>23</v>
      </c>
      <c r="I10" s="70">
        <v>1</v>
      </c>
      <c r="J10" s="70">
        <v>60</v>
      </c>
      <c r="K10" s="71">
        <v>1</v>
      </c>
      <c r="L10" s="72">
        <v>30</v>
      </c>
      <c r="M10" s="73">
        <v>30</v>
      </c>
      <c r="N10" s="32" t="s">
        <v>75</v>
      </c>
      <c r="O10" s="32" t="s">
        <v>76</v>
      </c>
      <c r="P10" s="32" t="s">
        <v>77</v>
      </c>
    </row>
    <row r="11" spans="1:16" ht="38.6">
      <c r="A11" s="74" t="s">
        <v>78</v>
      </c>
      <c r="B11" s="74" t="s">
        <v>17</v>
      </c>
      <c r="C11" s="75" t="s">
        <v>47</v>
      </c>
      <c r="D11" s="75" t="s">
        <v>48</v>
      </c>
      <c r="E11" s="75" t="s">
        <v>79</v>
      </c>
      <c r="F11" s="75" t="s">
        <v>80</v>
      </c>
      <c r="G11" s="75" t="s">
        <v>81</v>
      </c>
      <c r="H11" s="69" t="s">
        <v>23</v>
      </c>
      <c r="I11" s="70">
        <v>1</v>
      </c>
      <c r="J11" s="70">
        <v>120</v>
      </c>
      <c r="K11" s="71">
        <v>2</v>
      </c>
      <c r="L11" s="72">
        <v>30</v>
      </c>
      <c r="M11" s="73">
        <v>60</v>
      </c>
      <c r="N11" s="32" t="s">
        <v>51</v>
      </c>
      <c r="O11" s="32" t="s">
        <v>82</v>
      </c>
      <c r="P11" s="32" t="s">
        <v>83</v>
      </c>
    </row>
    <row r="12" spans="1:16" ht="64.3">
      <c r="A12" s="67" t="s">
        <v>84</v>
      </c>
      <c r="B12" s="67" t="s">
        <v>17</v>
      </c>
      <c r="C12" s="68" t="s">
        <v>47</v>
      </c>
      <c r="D12" s="68" t="s">
        <v>48</v>
      </c>
      <c r="E12" s="68" t="s">
        <v>79</v>
      </c>
      <c r="F12" s="68" t="s">
        <v>85</v>
      </c>
      <c r="G12" s="68" t="s">
        <v>86</v>
      </c>
      <c r="H12" s="69" t="s">
        <v>23</v>
      </c>
      <c r="I12" s="70">
        <v>1</v>
      </c>
      <c r="J12" s="70">
        <v>30</v>
      </c>
      <c r="K12" s="71">
        <v>0.5</v>
      </c>
      <c r="L12" s="72">
        <v>30</v>
      </c>
      <c r="M12" s="73">
        <v>15</v>
      </c>
      <c r="N12" s="32" t="s">
        <v>51</v>
      </c>
      <c r="O12" s="32" t="s">
        <v>87</v>
      </c>
      <c r="P12" s="32" t="s">
        <v>88</v>
      </c>
    </row>
    <row r="13" spans="1:16" ht="77.150000000000006">
      <c r="A13" s="74" t="s">
        <v>89</v>
      </c>
      <c r="B13" s="74" t="s">
        <v>17</v>
      </c>
      <c r="C13" s="75" t="s">
        <v>47</v>
      </c>
      <c r="D13" s="75" t="s">
        <v>48</v>
      </c>
      <c r="E13" s="75" t="s">
        <v>79</v>
      </c>
      <c r="F13" s="75" t="s">
        <v>90</v>
      </c>
      <c r="G13" s="75" t="s">
        <v>91</v>
      </c>
      <c r="H13" s="69" t="s">
        <v>23</v>
      </c>
      <c r="I13" s="70">
        <v>1</v>
      </c>
      <c r="J13" s="70">
        <v>60</v>
      </c>
      <c r="K13" s="71">
        <v>1</v>
      </c>
      <c r="L13" s="72">
        <v>30</v>
      </c>
      <c r="M13" s="73">
        <v>30</v>
      </c>
      <c r="N13" s="32" t="s">
        <v>51</v>
      </c>
      <c r="O13" s="32" t="s">
        <v>92</v>
      </c>
      <c r="P13" s="32" t="s">
        <v>93</v>
      </c>
    </row>
    <row r="14" spans="1:16" ht="64.3">
      <c r="A14" s="67" t="s">
        <v>94</v>
      </c>
      <c r="B14" s="67" t="s">
        <v>17</v>
      </c>
      <c r="C14" s="68" t="s">
        <v>47</v>
      </c>
      <c r="D14" s="68" t="s">
        <v>48</v>
      </c>
      <c r="E14" s="68" t="s">
        <v>79</v>
      </c>
      <c r="F14" s="68" t="s">
        <v>95</v>
      </c>
      <c r="G14" s="68" t="s">
        <v>96</v>
      </c>
      <c r="H14" s="69" t="s">
        <v>23</v>
      </c>
      <c r="I14" s="70">
        <v>1</v>
      </c>
      <c r="J14" s="70">
        <v>60</v>
      </c>
      <c r="K14" s="71">
        <v>1</v>
      </c>
      <c r="L14" s="72">
        <v>30</v>
      </c>
      <c r="M14" s="73">
        <v>30</v>
      </c>
      <c r="N14" s="32" t="s">
        <v>51</v>
      </c>
      <c r="O14" s="32" t="s">
        <v>97</v>
      </c>
      <c r="P14" s="32" t="s">
        <v>93</v>
      </c>
    </row>
    <row r="15" spans="1:16" ht="38.6">
      <c r="A15" s="74" t="s">
        <v>98</v>
      </c>
      <c r="B15" s="74" t="s">
        <v>17</v>
      </c>
      <c r="C15" s="75" t="s">
        <v>47</v>
      </c>
      <c r="D15" s="75" t="s">
        <v>48</v>
      </c>
      <c r="E15" s="75" t="s">
        <v>99</v>
      </c>
      <c r="F15" s="75" t="s">
        <v>100</v>
      </c>
      <c r="G15" s="75" t="s">
        <v>101</v>
      </c>
      <c r="H15" s="69" t="s">
        <v>23</v>
      </c>
      <c r="I15" s="70">
        <v>1</v>
      </c>
      <c r="J15" s="70">
        <v>30</v>
      </c>
      <c r="K15" s="71">
        <v>0.5</v>
      </c>
      <c r="L15" s="72">
        <v>30</v>
      </c>
      <c r="M15" s="73">
        <v>15</v>
      </c>
      <c r="N15" s="32" t="s">
        <v>51</v>
      </c>
      <c r="O15" s="32" t="s">
        <v>102</v>
      </c>
      <c r="P15" s="32" t="s">
        <v>103</v>
      </c>
    </row>
    <row r="16" spans="1:16" ht="90">
      <c r="A16" s="67" t="s">
        <v>104</v>
      </c>
      <c r="B16" s="67" t="s">
        <v>17</v>
      </c>
      <c r="C16" s="68" t="s">
        <v>47</v>
      </c>
      <c r="D16" s="68" t="s">
        <v>48</v>
      </c>
      <c r="E16" s="68" t="s">
        <v>99</v>
      </c>
      <c r="F16" s="68" t="s">
        <v>105</v>
      </c>
      <c r="G16" s="68" t="s">
        <v>106</v>
      </c>
      <c r="H16" s="69" t="s">
        <v>23</v>
      </c>
      <c r="I16" s="70">
        <v>1</v>
      </c>
      <c r="J16" s="70">
        <v>30</v>
      </c>
      <c r="K16" s="71">
        <v>0.5</v>
      </c>
      <c r="L16" s="72">
        <v>30</v>
      </c>
      <c r="M16" s="73">
        <v>15</v>
      </c>
      <c r="N16" s="32" t="s">
        <v>51</v>
      </c>
      <c r="O16" s="32" t="s">
        <v>107</v>
      </c>
      <c r="P16" s="32" t="s">
        <v>108</v>
      </c>
    </row>
    <row r="17" spans="1:16" ht="77.150000000000006">
      <c r="A17" s="74" t="s">
        <v>109</v>
      </c>
      <c r="B17" s="74" t="s">
        <v>17</v>
      </c>
      <c r="C17" s="75" t="s">
        <v>47</v>
      </c>
      <c r="D17" s="75" t="s">
        <v>48</v>
      </c>
      <c r="E17" s="75" t="s">
        <v>99</v>
      </c>
      <c r="F17" s="75" t="s">
        <v>110</v>
      </c>
      <c r="G17" s="75" t="s">
        <v>111</v>
      </c>
      <c r="H17" s="69" t="s">
        <v>23</v>
      </c>
      <c r="I17" s="70">
        <v>1</v>
      </c>
      <c r="J17" s="70">
        <v>60</v>
      </c>
      <c r="K17" s="71">
        <v>1</v>
      </c>
      <c r="L17" s="72">
        <v>30</v>
      </c>
      <c r="M17" s="73">
        <v>30</v>
      </c>
      <c r="N17" s="32" t="s">
        <v>51</v>
      </c>
      <c r="O17" s="32" t="s">
        <v>112</v>
      </c>
      <c r="P17" s="32" t="s">
        <v>113</v>
      </c>
    </row>
    <row r="18" spans="1:16" ht="90">
      <c r="A18" s="67" t="s">
        <v>114</v>
      </c>
      <c r="B18" s="67" t="s">
        <v>17</v>
      </c>
      <c r="C18" s="68" t="s">
        <v>47</v>
      </c>
      <c r="D18" s="68" t="s">
        <v>48</v>
      </c>
      <c r="E18" s="68" t="s">
        <v>99</v>
      </c>
      <c r="F18" s="68" t="s">
        <v>115</v>
      </c>
      <c r="G18" s="68" t="s">
        <v>116</v>
      </c>
      <c r="H18" s="69" t="s">
        <v>23</v>
      </c>
      <c r="I18" s="70">
        <v>1</v>
      </c>
      <c r="J18" s="70">
        <v>30</v>
      </c>
      <c r="K18" s="71">
        <v>0.5</v>
      </c>
      <c r="L18" s="72">
        <v>30</v>
      </c>
      <c r="M18" s="73">
        <v>15</v>
      </c>
      <c r="N18" s="32" t="s">
        <v>51</v>
      </c>
      <c r="O18" s="32" t="s">
        <v>117</v>
      </c>
      <c r="P18" s="32" t="s">
        <v>118</v>
      </c>
    </row>
    <row r="19" spans="1:16" ht="38.6">
      <c r="A19" s="74" t="s">
        <v>119</v>
      </c>
      <c r="B19" s="74" t="s">
        <v>17</v>
      </c>
      <c r="C19" s="75" t="s">
        <v>47</v>
      </c>
      <c r="D19" s="75" t="s">
        <v>48</v>
      </c>
      <c r="E19" s="75" t="s">
        <v>99</v>
      </c>
      <c r="F19" s="75" t="s">
        <v>120</v>
      </c>
      <c r="G19" s="75" t="s">
        <v>121</v>
      </c>
      <c r="H19" s="69" t="s">
        <v>23</v>
      </c>
      <c r="I19" s="70">
        <v>1</v>
      </c>
      <c r="J19" s="70">
        <v>30</v>
      </c>
      <c r="K19" s="71">
        <v>0.5</v>
      </c>
      <c r="L19" s="72">
        <v>30</v>
      </c>
      <c r="M19" s="73">
        <v>15</v>
      </c>
      <c r="N19" s="32" t="s">
        <v>51</v>
      </c>
      <c r="O19" s="32" t="s">
        <v>122</v>
      </c>
      <c r="P19" s="32" t="s">
        <v>123</v>
      </c>
    </row>
    <row r="20" spans="1:16" ht="90">
      <c r="A20" s="67" t="s">
        <v>124</v>
      </c>
      <c r="B20" s="67" t="s">
        <v>17</v>
      </c>
      <c r="C20" s="68" t="s">
        <v>47</v>
      </c>
      <c r="D20" s="68" t="s">
        <v>48</v>
      </c>
      <c r="E20" s="68" t="s">
        <v>99</v>
      </c>
      <c r="F20" s="68" t="s">
        <v>125</v>
      </c>
      <c r="G20" s="68" t="s">
        <v>126</v>
      </c>
      <c r="H20" s="69" t="s">
        <v>23</v>
      </c>
      <c r="I20" s="70">
        <v>1</v>
      </c>
      <c r="J20" s="70">
        <v>30</v>
      </c>
      <c r="K20" s="71">
        <v>0.5</v>
      </c>
      <c r="L20" s="72">
        <v>30</v>
      </c>
      <c r="M20" s="73">
        <v>15</v>
      </c>
      <c r="N20" s="32" t="s">
        <v>31</v>
      </c>
      <c r="O20" s="32" t="s">
        <v>127</v>
      </c>
      <c r="P20" s="32" t="s">
        <v>128</v>
      </c>
    </row>
    <row r="21" spans="1:16" ht="38.6">
      <c r="A21" s="74" t="s">
        <v>129</v>
      </c>
      <c r="B21" s="74" t="s">
        <v>17</v>
      </c>
      <c r="C21" s="75" t="s">
        <v>47</v>
      </c>
      <c r="D21" s="75" t="s">
        <v>48</v>
      </c>
      <c r="E21" s="75" t="s">
        <v>130</v>
      </c>
      <c r="F21" s="75" t="s">
        <v>131</v>
      </c>
      <c r="G21" s="75" t="s">
        <v>132</v>
      </c>
      <c r="H21" s="69" t="s">
        <v>133</v>
      </c>
      <c r="I21" s="70">
        <v>1</v>
      </c>
      <c r="J21" s="70">
        <v>30</v>
      </c>
      <c r="K21" s="71">
        <v>0.5</v>
      </c>
      <c r="L21" s="72">
        <v>30</v>
      </c>
      <c r="M21" s="73">
        <v>15</v>
      </c>
      <c r="N21" s="32" t="s">
        <v>51</v>
      </c>
      <c r="O21" s="32" t="s">
        <v>134</v>
      </c>
      <c r="P21" s="32" t="s">
        <v>88</v>
      </c>
    </row>
    <row r="22" spans="1:16" ht="38.6">
      <c r="A22" s="67" t="s">
        <v>135</v>
      </c>
      <c r="B22" s="67" t="s">
        <v>17</v>
      </c>
      <c r="C22" s="68" t="s">
        <v>47</v>
      </c>
      <c r="D22" s="68" t="s">
        <v>48</v>
      </c>
      <c r="E22" s="68" t="s">
        <v>130</v>
      </c>
      <c r="F22" s="68" t="s">
        <v>136</v>
      </c>
      <c r="G22" s="68" t="s">
        <v>137</v>
      </c>
      <c r="H22" s="69" t="s">
        <v>133</v>
      </c>
      <c r="I22" s="70">
        <v>1</v>
      </c>
      <c r="J22" s="70">
        <v>30</v>
      </c>
      <c r="K22" s="71">
        <v>0.5</v>
      </c>
      <c r="L22" s="72">
        <v>30</v>
      </c>
      <c r="M22" s="73">
        <v>15</v>
      </c>
      <c r="N22" s="32" t="s">
        <v>51</v>
      </c>
      <c r="O22" s="32" t="s">
        <v>138</v>
      </c>
      <c r="P22" s="32" t="s">
        <v>139</v>
      </c>
    </row>
    <row r="23" spans="1:16" ht="51.45">
      <c r="A23" s="74" t="s">
        <v>140</v>
      </c>
      <c r="B23" s="74" t="s">
        <v>17</v>
      </c>
      <c r="C23" s="75" t="s">
        <v>47</v>
      </c>
      <c r="D23" s="75" t="s">
        <v>48</v>
      </c>
      <c r="E23" s="75" t="s">
        <v>141</v>
      </c>
      <c r="F23" s="75" t="s">
        <v>142</v>
      </c>
      <c r="G23" s="75" t="s">
        <v>143</v>
      </c>
      <c r="H23" s="69" t="s">
        <v>23</v>
      </c>
      <c r="I23" s="70">
        <v>1</v>
      </c>
      <c r="J23" s="70">
        <v>30</v>
      </c>
      <c r="K23" s="71">
        <v>0.5</v>
      </c>
      <c r="L23" s="72">
        <v>30</v>
      </c>
      <c r="M23" s="73">
        <v>15</v>
      </c>
      <c r="N23" s="32" t="s">
        <v>51</v>
      </c>
      <c r="O23" s="32" t="s">
        <v>144</v>
      </c>
      <c r="P23" s="32" t="s">
        <v>145</v>
      </c>
    </row>
    <row r="24" spans="1:16" ht="38.6">
      <c r="A24" s="67" t="s">
        <v>146</v>
      </c>
      <c r="B24" s="67" t="s">
        <v>17</v>
      </c>
      <c r="C24" s="68" t="s">
        <v>47</v>
      </c>
      <c r="D24" s="68" t="s">
        <v>48</v>
      </c>
      <c r="E24" s="68" t="s">
        <v>141</v>
      </c>
      <c r="F24" s="68" t="s">
        <v>147</v>
      </c>
      <c r="G24" s="68" t="s">
        <v>148</v>
      </c>
      <c r="H24" s="69" t="s">
        <v>23</v>
      </c>
      <c r="I24" s="70">
        <v>1</v>
      </c>
      <c r="J24" s="70">
        <v>90</v>
      </c>
      <c r="K24" s="71">
        <v>1.5</v>
      </c>
      <c r="L24" s="72">
        <v>30</v>
      </c>
      <c r="M24" s="73">
        <v>45</v>
      </c>
      <c r="N24" s="32" t="s">
        <v>51</v>
      </c>
      <c r="O24" s="32" t="s">
        <v>149</v>
      </c>
      <c r="P24" s="32" t="s">
        <v>150</v>
      </c>
    </row>
    <row r="25" spans="1:16" ht="77.150000000000006">
      <c r="A25" s="74" t="s">
        <v>151</v>
      </c>
      <c r="B25" s="74" t="s">
        <v>17</v>
      </c>
      <c r="C25" s="75" t="s">
        <v>47</v>
      </c>
      <c r="D25" s="75" t="s">
        <v>48</v>
      </c>
      <c r="E25" s="75" t="s">
        <v>141</v>
      </c>
      <c r="F25" s="75" t="s">
        <v>152</v>
      </c>
      <c r="G25" s="75" t="s">
        <v>153</v>
      </c>
      <c r="H25" s="69" t="s">
        <v>23</v>
      </c>
      <c r="I25" s="70">
        <v>1</v>
      </c>
      <c r="J25" s="70">
        <v>30</v>
      </c>
      <c r="K25" s="71">
        <v>0.5</v>
      </c>
      <c r="L25" s="72">
        <v>30</v>
      </c>
      <c r="M25" s="73">
        <v>15</v>
      </c>
      <c r="N25" s="32" t="s">
        <v>51</v>
      </c>
      <c r="O25" s="32" t="s">
        <v>154</v>
      </c>
      <c r="P25" s="32" t="s">
        <v>88</v>
      </c>
    </row>
    <row r="26" spans="1:16" ht="51.45">
      <c r="A26" s="67" t="s">
        <v>155</v>
      </c>
      <c r="B26" s="67" t="s">
        <v>17</v>
      </c>
      <c r="C26" s="68" t="s">
        <v>47</v>
      </c>
      <c r="D26" s="68" t="s">
        <v>48</v>
      </c>
      <c r="E26" s="68" t="s">
        <v>156</v>
      </c>
      <c r="F26" s="68" t="s">
        <v>157</v>
      </c>
      <c r="G26" s="68" t="s">
        <v>158</v>
      </c>
      <c r="H26" s="69" t="s">
        <v>159</v>
      </c>
      <c r="I26" s="70">
        <v>1</v>
      </c>
      <c r="J26" s="70">
        <v>240</v>
      </c>
      <c r="K26" s="71">
        <v>4</v>
      </c>
      <c r="L26" s="72">
        <v>30</v>
      </c>
      <c r="M26" s="73">
        <v>120</v>
      </c>
      <c r="N26" s="32" t="s">
        <v>51</v>
      </c>
      <c r="O26" s="32" t="s">
        <v>160</v>
      </c>
      <c r="P26" s="32" t="s">
        <v>161</v>
      </c>
    </row>
    <row r="27" spans="1:16" ht="51.45">
      <c r="A27" s="74" t="s">
        <v>162</v>
      </c>
      <c r="B27" s="74" t="s">
        <v>17</v>
      </c>
      <c r="C27" s="75" t="s">
        <v>163</v>
      </c>
      <c r="D27" s="75" t="s">
        <v>164</v>
      </c>
      <c r="E27" s="75" t="s">
        <v>165</v>
      </c>
      <c r="F27" s="75" t="s">
        <v>166</v>
      </c>
      <c r="G27" s="75" t="s">
        <v>167</v>
      </c>
      <c r="H27" s="69" t="s">
        <v>1795</v>
      </c>
      <c r="I27" s="86">
        <f>1/Annahmen!$C$77</f>
        <v>6.6666666666666671E-3</v>
      </c>
      <c r="J27" s="70">
        <v>240</v>
      </c>
      <c r="K27" s="87">
        <f>I27*J27/60</f>
        <v>2.6666666666666668E-2</v>
      </c>
      <c r="L27" s="72">
        <v>30</v>
      </c>
      <c r="M27" s="73">
        <f>K27*L27</f>
        <v>0.8</v>
      </c>
      <c r="N27" s="32" t="s">
        <v>51</v>
      </c>
      <c r="O27" s="32" t="s">
        <v>168</v>
      </c>
      <c r="P27" s="32" t="s">
        <v>169</v>
      </c>
    </row>
    <row r="28" spans="1:16" ht="102.9">
      <c r="A28" s="67" t="s">
        <v>170</v>
      </c>
      <c r="B28" s="67" t="s">
        <v>17</v>
      </c>
      <c r="C28" s="68" t="s">
        <v>163</v>
      </c>
      <c r="D28" s="68" t="s">
        <v>164</v>
      </c>
      <c r="E28" s="68" t="s">
        <v>28</v>
      </c>
      <c r="F28" s="68" t="s">
        <v>1796</v>
      </c>
      <c r="G28" s="68" t="s">
        <v>1797</v>
      </c>
      <c r="H28" s="69" t="s">
        <v>1798</v>
      </c>
      <c r="I28" s="86">
        <f>1/Annahmen!$C$77</f>
        <v>6.6666666666666671E-3</v>
      </c>
      <c r="J28" s="70">
        <v>240</v>
      </c>
      <c r="K28" s="87">
        <f>I28*J28/60</f>
        <v>2.6666666666666668E-2</v>
      </c>
      <c r="L28" s="72">
        <v>30</v>
      </c>
      <c r="M28" s="73">
        <f>K28*L28</f>
        <v>0.8</v>
      </c>
      <c r="N28" s="32" t="s">
        <v>1799</v>
      </c>
      <c r="O28" s="32" t="s">
        <v>1800</v>
      </c>
      <c r="P28" s="32" t="s">
        <v>1801</v>
      </c>
    </row>
    <row r="29" spans="1:16" ht="64.3">
      <c r="A29" s="74" t="s">
        <v>171</v>
      </c>
      <c r="B29" s="74" t="s">
        <v>17</v>
      </c>
      <c r="C29" s="75" t="s">
        <v>47</v>
      </c>
      <c r="D29" s="75" t="s">
        <v>55</v>
      </c>
      <c r="E29" s="75" t="s">
        <v>172</v>
      </c>
      <c r="F29" s="75" t="s">
        <v>173</v>
      </c>
      <c r="G29" s="75" t="s">
        <v>174</v>
      </c>
      <c r="H29" s="69" t="s">
        <v>175</v>
      </c>
      <c r="I29" s="70">
        <v>1</v>
      </c>
      <c r="J29" s="70">
        <v>30</v>
      </c>
      <c r="K29" s="71">
        <v>0.5</v>
      </c>
      <c r="L29" s="72">
        <v>30</v>
      </c>
      <c r="M29" s="73">
        <v>15</v>
      </c>
      <c r="N29" s="32" t="s">
        <v>176</v>
      </c>
      <c r="O29" s="32" t="s">
        <v>177</v>
      </c>
      <c r="P29" s="32" t="s">
        <v>178</v>
      </c>
    </row>
    <row r="30" spans="1:16" ht="38.6">
      <c r="A30" s="67" t="s">
        <v>179</v>
      </c>
      <c r="B30" s="67" t="s">
        <v>17</v>
      </c>
      <c r="C30" s="68" t="s">
        <v>47</v>
      </c>
      <c r="D30" s="68" t="s">
        <v>48</v>
      </c>
      <c r="E30" s="68" t="s">
        <v>180</v>
      </c>
      <c r="F30" s="68" t="s">
        <v>181</v>
      </c>
      <c r="G30" s="68" t="s">
        <v>182</v>
      </c>
      <c r="H30" s="69" t="s">
        <v>183</v>
      </c>
      <c r="I30" s="70">
        <v>1</v>
      </c>
      <c r="J30" s="70">
        <v>30</v>
      </c>
      <c r="K30" s="71">
        <v>0.5</v>
      </c>
      <c r="L30" s="72">
        <v>30</v>
      </c>
      <c r="M30" s="73">
        <v>15</v>
      </c>
      <c r="N30" s="32" t="s">
        <v>184</v>
      </c>
      <c r="O30" s="32" t="s">
        <v>185</v>
      </c>
      <c r="P30" s="32" t="s">
        <v>186</v>
      </c>
    </row>
    <row r="31" spans="1:16" ht="1.2" customHeight="1">
      <c r="A31" s="76" t="s">
        <v>187</v>
      </c>
      <c r="B31" s="76" t="s">
        <v>17</v>
      </c>
      <c r="C31" s="76" t="s">
        <v>47</v>
      </c>
      <c r="D31" s="76" t="s">
        <v>48</v>
      </c>
      <c r="E31" s="76" t="s">
        <v>188</v>
      </c>
      <c r="F31" s="76" t="s">
        <v>189</v>
      </c>
      <c r="G31" s="76" t="s">
        <v>190</v>
      </c>
      <c r="H31" s="77" t="s">
        <v>191</v>
      </c>
      <c r="I31" s="78">
        <v>1</v>
      </c>
      <c r="J31" s="78">
        <v>30</v>
      </c>
      <c r="K31" s="79">
        <v>0.5</v>
      </c>
      <c r="L31" s="78">
        <v>30</v>
      </c>
      <c r="M31" s="79">
        <v>15</v>
      </c>
      <c r="N31" s="80" t="s">
        <v>184</v>
      </c>
      <c r="O31" s="80" t="s">
        <v>192</v>
      </c>
      <c r="P31" s="80" t="s">
        <v>193</v>
      </c>
    </row>
    <row r="32" spans="1:16" ht="1.2" customHeight="1">
      <c r="A32" s="76" t="s">
        <v>194</v>
      </c>
      <c r="B32" s="76" t="s">
        <v>17</v>
      </c>
      <c r="C32" s="76" t="s">
        <v>47</v>
      </c>
      <c r="D32" s="76" t="s">
        <v>48</v>
      </c>
      <c r="E32" s="76" t="s">
        <v>188</v>
      </c>
      <c r="F32" s="76" t="s">
        <v>195</v>
      </c>
      <c r="G32" s="76" t="s">
        <v>196</v>
      </c>
      <c r="H32" s="77" t="s">
        <v>175</v>
      </c>
      <c r="I32" s="78">
        <v>1</v>
      </c>
      <c r="J32" s="78">
        <v>60</v>
      </c>
      <c r="K32" s="79">
        <v>1</v>
      </c>
      <c r="L32" s="78">
        <v>30</v>
      </c>
      <c r="M32" s="79">
        <v>30</v>
      </c>
      <c r="N32" s="80" t="s">
        <v>184</v>
      </c>
      <c r="O32" s="80" t="s">
        <v>197</v>
      </c>
      <c r="P32" s="80" t="s">
        <v>198</v>
      </c>
    </row>
    <row r="33" spans="1:16" ht="1.2" customHeight="1">
      <c r="A33" s="76" t="s">
        <v>199</v>
      </c>
      <c r="B33" s="76" t="s">
        <v>17</v>
      </c>
      <c r="C33" s="76" t="s">
        <v>47</v>
      </c>
      <c r="D33" s="76" t="s">
        <v>48</v>
      </c>
      <c r="E33" s="76" t="s">
        <v>79</v>
      </c>
      <c r="F33" s="76" t="s">
        <v>200</v>
      </c>
      <c r="G33" s="76" t="s">
        <v>201</v>
      </c>
      <c r="H33" s="77" t="s">
        <v>175</v>
      </c>
      <c r="I33" s="78">
        <v>1</v>
      </c>
      <c r="J33" s="78">
        <v>30</v>
      </c>
      <c r="K33" s="79">
        <v>0.5</v>
      </c>
      <c r="L33" s="78">
        <v>30</v>
      </c>
      <c r="M33" s="79">
        <v>15</v>
      </c>
      <c r="N33" s="80" t="s">
        <v>184</v>
      </c>
      <c r="O33" s="80" t="s">
        <v>202</v>
      </c>
      <c r="P33" s="80" t="s">
        <v>203</v>
      </c>
    </row>
    <row r="34" spans="1:16" ht="1.2" customHeight="1">
      <c r="A34" s="76" t="s">
        <v>204</v>
      </c>
      <c r="B34" s="76" t="s">
        <v>17</v>
      </c>
      <c r="C34" s="76" t="s">
        <v>47</v>
      </c>
      <c r="D34" s="76" t="s">
        <v>48</v>
      </c>
      <c r="E34" s="76" t="s">
        <v>79</v>
      </c>
      <c r="F34" s="76" t="s">
        <v>205</v>
      </c>
      <c r="G34" s="76" t="s">
        <v>206</v>
      </c>
      <c r="H34" s="77" t="s">
        <v>207</v>
      </c>
      <c r="I34" s="78">
        <v>1</v>
      </c>
      <c r="J34" s="78">
        <v>15</v>
      </c>
      <c r="K34" s="79">
        <v>0.25</v>
      </c>
      <c r="L34" s="78">
        <v>30</v>
      </c>
      <c r="M34" s="79">
        <v>7.5</v>
      </c>
      <c r="N34" s="80" t="s">
        <v>184</v>
      </c>
      <c r="O34" s="80" t="s">
        <v>208</v>
      </c>
      <c r="P34" s="80" t="s">
        <v>209</v>
      </c>
    </row>
    <row r="35" spans="1:16" ht="1.2" customHeight="1">
      <c r="A35" s="76" t="s">
        <v>210</v>
      </c>
      <c r="B35" s="76" t="s">
        <v>17</v>
      </c>
      <c r="C35" s="76" t="s">
        <v>47</v>
      </c>
      <c r="D35" s="76" t="s">
        <v>48</v>
      </c>
      <c r="E35" s="76" t="s">
        <v>99</v>
      </c>
      <c r="F35" s="76" t="s">
        <v>211</v>
      </c>
      <c r="G35" s="76" t="s">
        <v>212</v>
      </c>
      <c r="H35" s="77" t="s">
        <v>175</v>
      </c>
      <c r="I35" s="78">
        <v>1</v>
      </c>
      <c r="J35" s="78">
        <v>60</v>
      </c>
      <c r="K35" s="79">
        <v>1</v>
      </c>
      <c r="L35" s="78">
        <v>30</v>
      </c>
      <c r="M35" s="79">
        <v>30</v>
      </c>
      <c r="N35" s="80" t="s">
        <v>184</v>
      </c>
      <c r="O35" s="80" t="s">
        <v>213</v>
      </c>
      <c r="P35" s="80" t="s">
        <v>214</v>
      </c>
    </row>
    <row r="36" spans="1:16" ht="84.9">
      <c r="A36" s="33" t="s">
        <v>215</v>
      </c>
      <c r="B36" s="33" t="s">
        <v>17</v>
      </c>
      <c r="C36" s="33" t="s">
        <v>47</v>
      </c>
      <c r="D36" s="33" t="s">
        <v>55</v>
      </c>
      <c r="E36" s="33" t="s">
        <v>216</v>
      </c>
      <c r="F36" s="33" t="s">
        <v>217</v>
      </c>
      <c r="G36" s="33" t="s">
        <v>218</v>
      </c>
      <c r="H36" s="33" t="s">
        <v>219</v>
      </c>
      <c r="I36" s="33">
        <v>1</v>
      </c>
      <c r="J36" s="33">
        <v>120</v>
      </c>
      <c r="K36" s="33">
        <v>2</v>
      </c>
      <c r="L36" s="33">
        <v>25</v>
      </c>
      <c r="M36" s="33">
        <v>50</v>
      </c>
      <c r="N36" s="33" t="s">
        <v>220</v>
      </c>
      <c r="O36" s="33" t="s">
        <v>221</v>
      </c>
      <c r="P36" s="33" t="s">
        <v>222</v>
      </c>
    </row>
    <row r="37" spans="1:16" ht="70.75">
      <c r="A37" s="33" t="s">
        <v>223</v>
      </c>
      <c r="B37" s="33" t="s">
        <v>17</v>
      </c>
      <c r="C37" s="33" t="s">
        <v>18</v>
      </c>
      <c r="D37" s="33" t="s">
        <v>19</v>
      </c>
      <c r="E37" s="33" t="s">
        <v>172</v>
      </c>
      <c r="F37" s="33" t="s">
        <v>224</v>
      </c>
      <c r="G37" s="33" t="s">
        <v>225</v>
      </c>
      <c r="H37" s="33" t="s">
        <v>175</v>
      </c>
      <c r="I37" s="33">
        <v>1</v>
      </c>
      <c r="J37" s="33">
        <v>30</v>
      </c>
      <c r="K37" s="33">
        <v>0.5</v>
      </c>
      <c r="L37" s="33">
        <v>50</v>
      </c>
      <c r="M37" s="33">
        <v>25</v>
      </c>
      <c r="N37" s="33" t="s">
        <v>226</v>
      </c>
      <c r="O37" s="33" t="s">
        <v>227</v>
      </c>
      <c r="P37" s="33" t="s">
        <v>228</v>
      </c>
    </row>
    <row r="38" spans="1:16" ht="84.9">
      <c r="A38" s="33" t="s">
        <v>229</v>
      </c>
      <c r="B38" s="33" t="s">
        <v>17</v>
      </c>
      <c r="C38" s="33" t="s">
        <v>18</v>
      </c>
      <c r="D38" s="33" t="s">
        <v>19</v>
      </c>
      <c r="E38" s="33" t="s">
        <v>130</v>
      </c>
      <c r="F38" s="33" t="s">
        <v>230</v>
      </c>
      <c r="G38" s="33" t="s">
        <v>231</v>
      </c>
      <c r="H38" s="33" t="s">
        <v>133</v>
      </c>
      <c r="I38" s="33">
        <v>1</v>
      </c>
      <c r="J38" s="33">
        <v>15</v>
      </c>
      <c r="K38" s="33">
        <v>0.25</v>
      </c>
      <c r="L38" s="33">
        <v>50</v>
      </c>
      <c r="M38" s="33">
        <v>12.5</v>
      </c>
      <c r="N38" s="33" t="s">
        <v>24</v>
      </c>
      <c r="O38" s="33" t="s">
        <v>232</v>
      </c>
      <c r="P38" s="33" t="s">
        <v>233</v>
      </c>
    </row>
    <row r="39" spans="1:16" ht="56.6">
      <c r="A39" s="33" t="s">
        <v>234</v>
      </c>
      <c r="B39" s="33" t="s">
        <v>17</v>
      </c>
      <c r="C39" s="33" t="s">
        <v>47</v>
      </c>
      <c r="D39" s="33" t="s">
        <v>48</v>
      </c>
      <c r="E39" s="33" t="s">
        <v>20</v>
      </c>
      <c r="F39" s="33" t="s">
        <v>235</v>
      </c>
      <c r="G39" s="33" t="s">
        <v>236</v>
      </c>
      <c r="H39" s="33" t="s">
        <v>23</v>
      </c>
      <c r="I39" s="33">
        <v>1</v>
      </c>
      <c r="J39" s="33">
        <v>30</v>
      </c>
      <c r="K39" s="33">
        <v>0.5</v>
      </c>
      <c r="L39" s="33">
        <v>50</v>
      </c>
      <c r="M39" s="33">
        <v>25</v>
      </c>
      <c r="N39" s="33" t="s">
        <v>24</v>
      </c>
      <c r="O39" s="33" t="s">
        <v>237</v>
      </c>
      <c r="P39" s="33" t="s">
        <v>238</v>
      </c>
    </row>
    <row r="40" spans="1:16" ht="56.6">
      <c r="A40" s="33" t="s">
        <v>239</v>
      </c>
      <c r="B40" s="33" t="s">
        <v>17</v>
      </c>
      <c r="C40" s="33" t="s">
        <v>47</v>
      </c>
      <c r="D40" s="33" t="s">
        <v>48</v>
      </c>
      <c r="E40" s="33" t="s">
        <v>156</v>
      </c>
      <c r="F40" s="33" t="s">
        <v>240</v>
      </c>
      <c r="G40" s="33" t="s">
        <v>241</v>
      </c>
      <c r="H40" s="33" t="s">
        <v>175</v>
      </c>
      <c r="I40" s="33">
        <v>1</v>
      </c>
      <c r="J40" s="33">
        <v>60</v>
      </c>
      <c r="K40" s="33">
        <v>1</v>
      </c>
      <c r="L40" s="33">
        <v>30</v>
      </c>
      <c r="M40" s="33">
        <v>30</v>
      </c>
      <c r="N40" s="33" t="s">
        <v>51</v>
      </c>
      <c r="O40" s="33" t="s">
        <v>242</v>
      </c>
      <c r="P40" s="33" t="s">
        <v>243</v>
      </c>
    </row>
    <row r="41" spans="1:16" ht="70.75">
      <c r="A41" s="33" t="s">
        <v>244</v>
      </c>
      <c r="B41" s="33" t="s">
        <v>17</v>
      </c>
      <c r="C41" s="33" t="s">
        <v>163</v>
      </c>
      <c r="D41" s="33" t="s">
        <v>164</v>
      </c>
      <c r="E41" s="33" t="s">
        <v>165</v>
      </c>
      <c r="F41" s="33" t="s">
        <v>245</v>
      </c>
      <c r="G41" s="33" t="s">
        <v>246</v>
      </c>
      <c r="H41" s="33" t="s">
        <v>1795</v>
      </c>
      <c r="I41" s="88">
        <f>1/Annahmen!$C$77</f>
        <v>6.6666666666666671E-3</v>
      </c>
      <c r="J41" s="33">
        <v>30</v>
      </c>
      <c r="K41" s="89">
        <f>I41*J41/60</f>
        <v>3.3333333333333335E-3</v>
      </c>
      <c r="L41" s="33">
        <v>30</v>
      </c>
      <c r="M41" s="33">
        <f>K41*L41</f>
        <v>0.1</v>
      </c>
      <c r="N41" s="33" t="s">
        <v>51</v>
      </c>
      <c r="O41" s="33" t="s">
        <v>247</v>
      </c>
      <c r="P41" s="33" t="s">
        <v>248</v>
      </c>
    </row>
    <row r="42" spans="1:16" ht="70.75">
      <c r="A42" s="33" t="s">
        <v>249</v>
      </c>
      <c r="B42" s="33" t="s">
        <v>17</v>
      </c>
      <c r="C42" s="33" t="s">
        <v>163</v>
      </c>
      <c r="D42" s="33" t="s">
        <v>164</v>
      </c>
      <c r="E42" s="33" t="s">
        <v>28</v>
      </c>
      <c r="F42" s="33" t="s">
        <v>250</v>
      </c>
      <c r="G42" s="33" t="s">
        <v>251</v>
      </c>
      <c r="H42" s="33" t="s">
        <v>1795</v>
      </c>
      <c r="I42" s="88">
        <f>1/Annahmen!$C$77</f>
        <v>6.6666666666666671E-3</v>
      </c>
      <c r="J42" s="33">
        <v>30</v>
      </c>
      <c r="K42" s="89">
        <f>I42*J42/60</f>
        <v>3.3333333333333335E-3</v>
      </c>
      <c r="L42" s="33">
        <v>30</v>
      </c>
      <c r="M42" s="33">
        <f>K42*L42</f>
        <v>0.1</v>
      </c>
      <c r="N42" s="33" t="s">
        <v>252</v>
      </c>
      <c r="O42" s="33" t="s">
        <v>253</v>
      </c>
      <c r="P42" s="33" t="s">
        <v>254</v>
      </c>
    </row>
    <row r="43" spans="1:16" ht="42.45">
      <c r="A43" s="33" t="s">
        <v>255</v>
      </c>
      <c r="B43" s="33" t="s">
        <v>17</v>
      </c>
      <c r="C43" s="33" t="s">
        <v>47</v>
      </c>
      <c r="D43" s="33" t="s">
        <v>48</v>
      </c>
      <c r="E43" s="33" t="s">
        <v>172</v>
      </c>
      <c r="F43" s="33" t="s">
        <v>256</v>
      </c>
      <c r="G43" s="33" t="s">
        <v>257</v>
      </c>
      <c r="H43" s="33" t="s">
        <v>175</v>
      </c>
      <c r="I43" s="33">
        <v>1</v>
      </c>
      <c r="J43" s="33">
        <v>15</v>
      </c>
      <c r="K43" s="33">
        <v>0.25</v>
      </c>
      <c r="L43" s="33">
        <v>30</v>
      </c>
      <c r="M43" s="33">
        <v>7.5</v>
      </c>
      <c r="N43" s="33" t="s">
        <v>31</v>
      </c>
      <c r="O43" s="33" t="s">
        <v>258</v>
      </c>
      <c r="P43" s="33" t="s">
        <v>254</v>
      </c>
    </row>
    <row r="44" spans="1:16" ht="70.75">
      <c r="A44" s="33" t="s">
        <v>259</v>
      </c>
      <c r="B44" s="33" t="s">
        <v>17</v>
      </c>
      <c r="C44" s="33" t="s">
        <v>260</v>
      </c>
      <c r="D44" s="33" t="s">
        <v>261</v>
      </c>
      <c r="E44" s="33" t="s">
        <v>20</v>
      </c>
      <c r="F44" s="33" t="s">
        <v>262</v>
      </c>
      <c r="G44" s="33" t="s">
        <v>263</v>
      </c>
      <c r="H44" s="33" t="s">
        <v>23</v>
      </c>
      <c r="I44" s="33">
        <v>1</v>
      </c>
      <c r="J44" s="33">
        <v>60</v>
      </c>
      <c r="K44" s="33">
        <v>1</v>
      </c>
      <c r="L44" s="33">
        <v>30</v>
      </c>
      <c r="M44" s="33">
        <v>30</v>
      </c>
      <c r="N44" s="33" t="s">
        <v>264</v>
      </c>
      <c r="O44" s="33" t="s">
        <v>265</v>
      </c>
      <c r="P44" s="33" t="s">
        <v>266</v>
      </c>
    </row>
    <row r="45" spans="1:16" ht="50.6" customHeight="1">
      <c r="A45" s="33" t="s">
        <v>1802</v>
      </c>
      <c r="B45" s="33" t="s">
        <v>17</v>
      </c>
      <c r="C45" s="33" t="s">
        <v>163</v>
      </c>
      <c r="D45" s="33" t="s">
        <v>1803</v>
      </c>
      <c r="E45" s="33" t="s">
        <v>1804</v>
      </c>
      <c r="F45" s="33" t="s">
        <v>1805</v>
      </c>
      <c r="G45" s="33" t="s">
        <v>1806</v>
      </c>
      <c r="H45" s="33" t="s">
        <v>1795</v>
      </c>
      <c r="I45" s="88">
        <f>1/Annahmen!$C$77</f>
        <v>6.6666666666666671E-3</v>
      </c>
      <c r="J45" s="33">
        <v>15</v>
      </c>
      <c r="K45" s="89">
        <f t="shared" ref="K45:K54" si="0">I45*J45/60</f>
        <v>1.6666666666666668E-3</v>
      </c>
      <c r="L45" s="33">
        <v>30</v>
      </c>
      <c r="M45" s="33">
        <f t="shared" ref="M45:M54" si="1">K45*L45</f>
        <v>0.05</v>
      </c>
      <c r="N45" s="33" t="s">
        <v>1799</v>
      </c>
      <c r="O45" s="33" t="s">
        <v>1807</v>
      </c>
      <c r="P45" s="33" t="s">
        <v>1808</v>
      </c>
    </row>
    <row r="46" spans="1:16" ht="50.6" customHeight="1">
      <c r="A46" s="33" t="s">
        <v>1809</v>
      </c>
      <c r="B46" s="33" t="s">
        <v>17</v>
      </c>
      <c r="C46" s="33" t="s">
        <v>163</v>
      </c>
      <c r="D46" s="33" t="s">
        <v>1803</v>
      </c>
      <c r="E46" s="33" t="s">
        <v>1810</v>
      </c>
      <c r="F46" s="33" t="s">
        <v>1811</v>
      </c>
      <c r="G46" s="33" t="s">
        <v>1812</v>
      </c>
      <c r="H46" s="33" t="s">
        <v>1795</v>
      </c>
      <c r="I46" s="88">
        <f>1/Annahmen!$C$77</f>
        <v>6.6666666666666671E-3</v>
      </c>
      <c r="J46" s="33">
        <v>60</v>
      </c>
      <c r="K46" s="89">
        <f t="shared" si="0"/>
        <v>6.6666666666666671E-3</v>
      </c>
      <c r="L46" s="33">
        <v>30</v>
      </c>
      <c r="M46" s="33">
        <f t="shared" si="1"/>
        <v>0.2</v>
      </c>
      <c r="N46" s="33" t="s">
        <v>1799</v>
      </c>
      <c r="O46" s="33" t="s">
        <v>1813</v>
      </c>
      <c r="P46" s="33" t="s">
        <v>1814</v>
      </c>
    </row>
    <row r="47" spans="1:16" ht="50.6" customHeight="1">
      <c r="A47" s="33" t="s">
        <v>1815</v>
      </c>
      <c r="B47" s="33" t="s">
        <v>17</v>
      </c>
      <c r="C47" s="33" t="s">
        <v>163</v>
      </c>
      <c r="D47" s="33" t="s">
        <v>1816</v>
      </c>
      <c r="E47" s="33" t="s">
        <v>1817</v>
      </c>
      <c r="F47" s="33" t="s">
        <v>1818</v>
      </c>
      <c r="G47" s="33" t="s">
        <v>1819</v>
      </c>
      <c r="H47" s="33" t="s">
        <v>1795</v>
      </c>
      <c r="I47" s="88">
        <f>1/Annahmen!$C$77</f>
        <v>6.6666666666666671E-3</v>
      </c>
      <c r="J47" s="33">
        <v>30</v>
      </c>
      <c r="K47" s="89">
        <f t="shared" si="0"/>
        <v>3.3333333333333335E-3</v>
      </c>
      <c r="L47" s="33">
        <v>30</v>
      </c>
      <c r="M47" s="33">
        <f t="shared" si="1"/>
        <v>0.1</v>
      </c>
      <c r="N47" s="33" t="s">
        <v>1799</v>
      </c>
      <c r="O47" s="33" t="s">
        <v>1820</v>
      </c>
      <c r="P47" s="33" t="s">
        <v>1821</v>
      </c>
    </row>
    <row r="48" spans="1:16" ht="50.6" customHeight="1">
      <c r="A48" s="33" t="s">
        <v>1822</v>
      </c>
      <c r="B48" s="33" t="s">
        <v>17</v>
      </c>
      <c r="C48" s="33" t="s">
        <v>163</v>
      </c>
      <c r="D48" s="33" t="s">
        <v>1816</v>
      </c>
      <c r="E48" s="33" t="s">
        <v>1823</v>
      </c>
      <c r="F48" s="33" t="s">
        <v>1824</v>
      </c>
      <c r="G48" s="33" t="s">
        <v>1825</v>
      </c>
      <c r="H48" s="33" t="s">
        <v>1826</v>
      </c>
      <c r="I48" s="88">
        <f>Annahmen!$C$78/Annahmen!$C$77</f>
        <v>8.666666666666667E-2</v>
      </c>
      <c r="J48" s="33">
        <v>15</v>
      </c>
      <c r="K48" s="89">
        <f t="shared" si="0"/>
        <v>2.1666666666666667E-2</v>
      </c>
      <c r="L48" s="33">
        <v>30</v>
      </c>
      <c r="M48" s="33">
        <f t="shared" si="1"/>
        <v>0.65</v>
      </c>
      <c r="N48" s="33" t="s">
        <v>1799</v>
      </c>
      <c r="O48" s="33" t="s">
        <v>1827</v>
      </c>
      <c r="P48" s="33" t="s">
        <v>1828</v>
      </c>
    </row>
    <row r="49" spans="1:16" ht="50.6" customHeight="1">
      <c r="A49" s="33" t="s">
        <v>1829</v>
      </c>
      <c r="B49" s="33" t="s">
        <v>17</v>
      </c>
      <c r="C49" s="33" t="s">
        <v>163</v>
      </c>
      <c r="D49" s="33" t="s">
        <v>1816</v>
      </c>
      <c r="E49" s="33" t="s">
        <v>1830</v>
      </c>
      <c r="F49" s="33" t="s">
        <v>1831</v>
      </c>
      <c r="G49" s="33" t="s">
        <v>1832</v>
      </c>
      <c r="H49" s="33" t="s">
        <v>1826</v>
      </c>
      <c r="I49" s="88">
        <f>Annahmen!$C$78/Annahmen!$C$77</f>
        <v>8.666666666666667E-2</v>
      </c>
      <c r="J49" s="33">
        <v>15</v>
      </c>
      <c r="K49" s="89">
        <f t="shared" si="0"/>
        <v>2.1666666666666667E-2</v>
      </c>
      <c r="L49" s="33">
        <v>30</v>
      </c>
      <c r="M49" s="33">
        <f t="shared" si="1"/>
        <v>0.65</v>
      </c>
      <c r="N49" s="33" t="s">
        <v>1799</v>
      </c>
      <c r="O49" s="33" t="s">
        <v>1833</v>
      </c>
      <c r="P49" s="33" t="s">
        <v>1834</v>
      </c>
    </row>
    <row r="50" spans="1:16" ht="51.45" customHeight="1">
      <c r="A50" s="33" t="s">
        <v>1835</v>
      </c>
      <c r="B50" s="33" t="s">
        <v>17</v>
      </c>
      <c r="C50" s="33" t="s">
        <v>260</v>
      </c>
      <c r="D50" s="33" t="s">
        <v>1836</v>
      </c>
      <c r="E50" s="33" t="s">
        <v>1837</v>
      </c>
      <c r="F50" s="33" t="s">
        <v>1838</v>
      </c>
      <c r="G50" s="33" t="s">
        <v>1839</v>
      </c>
      <c r="H50" s="33" t="s">
        <v>1840</v>
      </c>
      <c r="I50" s="88">
        <f>1</f>
        <v>1</v>
      </c>
      <c r="J50" s="85">
        <f>Annahmen!$C$87</f>
        <v>10</v>
      </c>
      <c r="K50" s="89">
        <f t="shared" si="0"/>
        <v>0.16666666666666666</v>
      </c>
      <c r="L50" s="33">
        <v>30</v>
      </c>
      <c r="M50" s="33">
        <f t="shared" si="1"/>
        <v>5</v>
      </c>
      <c r="N50" s="33" t="s">
        <v>1799</v>
      </c>
      <c r="O50" s="33" t="s">
        <v>1841</v>
      </c>
      <c r="P50" s="33" t="s">
        <v>1842</v>
      </c>
    </row>
    <row r="51" spans="1:16" ht="51.45" customHeight="1">
      <c r="A51" s="33" t="s">
        <v>1843</v>
      </c>
      <c r="B51" s="33" t="s">
        <v>17</v>
      </c>
      <c r="C51" s="33" t="s">
        <v>260</v>
      </c>
      <c r="D51" s="33" t="s">
        <v>1836</v>
      </c>
      <c r="E51" s="33" t="s">
        <v>1844</v>
      </c>
      <c r="F51" s="33" t="s">
        <v>1845</v>
      </c>
      <c r="G51" s="33" t="s">
        <v>1846</v>
      </c>
      <c r="H51" s="33" t="s">
        <v>1840</v>
      </c>
      <c r="I51" s="88">
        <f>1</f>
        <v>1</v>
      </c>
      <c r="J51" s="85">
        <f>Annahmen!$C$88</f>
        <v>15</v>
      </c>
      <c r="K51" s="89">
        <f t="shared" si="0"/>
        <v>0.25</v>
      </c>
      <c r="L51" s="33">
        <v>30</v>
      </c>
      <c r="M51" s="33">
        <f t="shared" si="1"/>
        <v>7.5</v>
      </c>
      <c r="N51" s="33" t="s">
        <v>1799</v>
      </c>
      <c r="O51" s="33" t="s">
        <v>1847</v>
      </c>
      <c r="P51" s="33" t="s">
        <v>1848</v>
      </c>
    </row>
    <row r="52" spans="1:16" ht="51.45" customHeight="1">
      <c r="A52" s="33" t="s">
        <v>1849</v>
      </c>
      <c r="B52" s="33" t="s">
        <v>17</v>
      </c>
      <c r="C52" s="33" t="s">
        <v>260</v>
      </c>
      <c r="D52" s="33" t="s">
        <v>1836</v>
      </c>
      <c r="E52" s="33" t="s">
        <v>1850</v>
      </c>
      <c r="F52" s="33" t="s">
        <v>1851</v>
      </c>
      <c r="G52" s="33" t="s">
        <v>1852</v>
      </c>
      <c r="H52" s="33" t="s">
        <v>1840</v>
      </c>
      <c r="I52" s="88">
        <f>1</f>
        <v>1</v>
      </c>
      <c r="J52" s="85">
        <f>Annahmen!$C$89</f>
        <v>15</v>
      </c>
      <c r="K52" s="89">
        <f t="shared" si="0"/>
        <v>0.25</v>
      </c>
      <c r="L52" s="33">
        <v>30</v>
      </c>
      <c r="M52" s="33">
        <f t="shared" si="1"/>
        <v>7.5</v>
      </c>
      <c r="N52" s="33" t="s">
        <v>1799</v>
      </c>
      <c r="O52" s="33" t="s">
        <v>1853</v>
      </c>
      <c r="P52" s="33" t="s">
        <v>1854</v>
      </c>
    </row>
    <row r="53" spans="1:16" ht="51.45" customHeight="1">
      <c r="A53" s="33" t="s">
        <v>1855</v>
      </c>
      <c r="B53" s="33" t="s">
        <v>17</v>
      </c>
      <c r="C53" s="33" t="s">
        <v>260</v>
      </c>
      <c r="D53" s="33" t="s">
        <v>1836</v>
      </c>
      <c r="E53" s="33" t="s">
        <v>1856</v>
      </c>
      <c r="F53" s="33" t="s">
        <v>1857</v>
      </c>
      <c r="G53" s="33" t="s">
        <v>1858</v>
      </c>
      <c r="H53" s="33" t="s">
        <v>1840</v>
      </c>
      <c r="I53" s="88">
        <f>1</f>
        <v>1</v>
      </c>
      <c r="J53" s="85">
        <f>Annahmen!$C$90</f>
        <v>15</v>
      </c>
      <c r="K53" s="89">
        <f t="shared" si="0"/>
        <v>0.25</v>
      </c>
      <c r="L53" s="33">
        <v>30</v>
      </c>
      <c r="M53" s="33">
        <f t="shared" si="1"/>
        <v>7.5</v>
      </c>
      <c r="N53" s="33" t="s">
        <v>1799</v>
      </c>
      <c r="O53" s="33" t="s">
        <v>1859</v>
      </c>
      <c r="P53" s="33" t="s">
        <v>1860</v>
      </c>
    </row>
    <row r="54" spans="1:16" ht="51.45" customHeight="1">
      <c r="A54" s="33" t="s">
        <v>1861</v>
      </c>
      <c r="B54" s="33" t="s">
        <v>17</v>
      </c>
      <c r="C54" s="33" t="s">
        <v>260</v>
      </c>
      <c r="D54" s="33" t="s">
        <v>1836</v>
      </c>
      <c r="E54" s="33" t="s">
        <v>1862</v>
      </c>
      <c r="F54" s="33" t="s">
        <v>1863</v>
      </c>
      <c r="G54" s="33" t="s">
        <v>1864</v>
      </c>
      <c r="H54" s="33" t="s">
        <v>1840</v>
      </c>
      <c r="I54" s="88">
        <f>1</f>
        <v>1</v>
      </c>
      <c r="J54" s="85">
        <f>Annahmen!$C$91</f>
        <v>5</v>
      </c>
      <c r="K54" s="89">
        <f t="shared" si="0"/>
        <v>8.3333333333333329E-2</v>
      </c>
      <c r="L54" s="33">
        <v>30</v>
      </c>
      <c r="M54" s="33">
        <f t="shared" si="1"/>
        <v>2.5</v>
      </c>
      <c r="N54" s="33" t="s">
        <v>1799</v>
      </c>
      <c r="O54" s="33" t="s">
        <v>1865</v>
      </c>
      <c r="P54" s="33" t="s">
        <v>1773</v>
      </c>
    </row>
    <row r="55" spans="1:16" ht="53.6" customHeight="1">
      <c r="A55" s="33" t="s">
        <v>1866</v>
      </c>
      <c r="B55" s="33" t="s">
        <v>17</v>
      </c>
      <c r="C55" s="33" t="s">
        <v>260</v>
      </c>
      <c r="D55" s="33" t="s">
        <v>1867</v>
      </c>
      <c r="E55" s="33" t="s">
        <v>1868</v>
      </c>
      <c r="F55" s="33" t="s">
        <v>1869</v>
      </c>
      <c r="G55" s="33" t="s">
        <v>1870</v>
      </c>
      <c r="H55" s="33" t="s">
        <v>1871</v>
      </c>
      <c r="I55" s="33"/>
      <c r="J55" s="33"/>
      <c r="K55" s="33"/>
      <c r="L55" s="33">
        <v>30</v>
      </c>
      <c r="M55" s="33"/>
      <c r="N55" s="33" t="s">
        <v>1799</v>
      </c>
      <c r="O55" s="33" t="s">
        <v>1872</v>
      </c>
      <c r="P55" s="33" t="s">
        <v>1873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5"/>
  <sheetViews>
    <sheetView workbookViewId="0"/>
  </sheetViews>
  <sheetFormatPr baseColWidth="10" defaultColWidth="9.140625" defaultRowHeight="14.15"/>
  <cols>
    <col min="1" max="1" width="12" customWidth="1"/>
    <col min="2" max="2" width="10" customWidth="1"/>
    <col min="3" max="3" width="26" customWidth="1"/>
    <col min="4" max="4" width="30" customWidth="1"/>
    <col min="5" max="5" width="24" customWidth="1"/>
    <col min="6" max="6" width="38" customWidth="1"/>
    <col min="7" max="7" width="42" customWidth="1"/>
    <col min="8" max="9" width="14" customWidth="1"/>
    <col min="10" max="11" width="17" customWidth="1"/>
    <col min="12" max="12" width="18" customWidth="1"/>
    <col min="13" max="13" width="20" customWidth="1"/>
    <col min="14" max="14" width="31" customWidth="1"/>
    <col min="15" max="15" width="34" customWidth="1"/>
    <col min="16" max="16" width="48" customWidth="1"/>
  </cols>
  <sheetData>
    <row r="1" spans="1:16" ht="25.75">
      <c r="A1" s="31" t="s">
        <v>0</v>
      </c>
      <c r="B1" s="31" t="s">
        <v>1</v>
      </c>
      <c r="C1" s="31" t="s">
        <v>2</v>
      </c>
      <c r="D1" s="31" t="s">
        <v>3</v>
      </c>
      <c r="E1" s="31" t="s">
        <v>4</v>
      </c>
      <c r="F1" s="31" t="s">
        <v>5</v>
      </c>
      <c r="G1" s="31" t="s">
        <v>6</v>
      </c>
      <c r="H1" s="31" t="s">
        <v>7</v>
      </c>
      <c r="I1" s="31" t="s">
        <v>8</v>
      </c>
      <c r="J1" s="31" t="s">
        <v>9</v>
      </c>
      <c r="K1" s="31" t="s">
        <v>10</v>
      </c>
      <c r="L1" s="31" t="s">
        <v>11</v>
      </c>
      <c r="M1" s="31" t="s">
        <v>12</v>
      </c>
      <c r="N1" s="31" t="s">
        <v>13</v>
      </c>
      <c r="O1" s="31" t="s">
        <v>14</v>
      </c>
      <c r="P1" s="31" t="s">
        <v>15</v>
      </c>
    </row>
    <row r="2" spans="1:16" ht="77.150000000000006">
      <c r="A2" s="67" t="s">
        <v>267</v>
      </c>
      <c r="B2" s="67" t="s">
        <v>268</v>
      </c>
      <c r="C2" s="68" t="s">
        <v>18</v>
      </c>
      <c r="D2" s="68" t="s">
        <v>19</v>
      </c>
      <c r="E2" s="68" t="s">
        <v>20</v>
      </c>
      <c r="F2" s="68" t="s">
        <v>269</v>
      </c>
      <c r="G2" s="68" t="s">
        <v>270</v>
      </c>
      <c r="H2" s="69" t="s">
        <v>23</v>
      </c>
      <c r="I2" s="70">
        <v>1</v>
      </c>
      <c r="J2" s="70">
        <v>15</v>
      </c>
      <c r="K2" s="71">
        <v>0.25</v>
      </c>
      <c r="L2" s="81">
        <v>50</v>
      </c>
      <c r="M2" s="82">
        <v>12.5</v>
      </c>
      <c r="N2" s="32" t="s">
        <v>271</v>
      </c>
      <c r="O2" s="32" t="s">
        <v>272</v>
      </c>
      <c r="P2" s="32" t="s">
        <v>273</v>
      </c>
    </row>
    <row r="3" spans="1:16" ht="51.45">
      <c r="A3" s="74" t="s">
        <v>274</v>
      </c>
      <c r="B3" s="74" t="s">
        <v>268</v>
      </c>
      <c r="C3" s="75" t="s">
        <v>18</v>
      </c>
      <c r="D3" s="75" t="s">
        <v>19</v>
      </c>
      <c r="E3" s="75" t="s">
        <v>28</v>
      </c>
      <c r="F3" s="75" t="s">
        <v>41</v>
      </c>
      <c r="G3" s="75" t="s">
        <v>42</v>
      </c>
      <c r="H3" s="69" t="s">
        <v>23</v>
      </c>
      <c r="I3" s="70">
        <v>1</v>
      </c>
      <c r="J3" s="70">
        <v>15</v>
      </c>
      <c r="K3" s="71">
        <v>0.25</v>
      </c>
      <c r="L3" s="81">
        <v>50</v>
      </c>
      <c r="M3" s="82">
        <v>12.5</v>
      </c>
      <c r="N3" s="32" t="s">
        <v>275</v>
      </c>
      <c r="O3" s="32" t="s">
        <v>276</v>
      </c>
      <c r="P3" s="32" t="s">
        <v>277</v>
      </c>
    </row>
    <row r="4" spans="1:16" ht="51.45">
      <c r="A4" s="67" t="s">
        <v>278</v>
      </c>
      <c r="B4" s="67" t="s">
        <v>268</v>
      </c>
      <c r="C4" s="68" t="s">
        <v>47</v>
      </c>
      <c r="D4" s="68" t="s">
        <v>48</v>
      </c>
      <c r="E4" s="68" t="s">
        <v>20</v>
      </c>
      <c r="F4" s="68" t="s">
        <v>49</v>
      </c>
      <c r="G4" s="68" t="s">
        <v>50</v>
      </c>
      <c r="H4" s="69" t="s">
        <v>23</v>
      </c>
      <c r="I4" s="70">
        <v>1</v>
      </c>
      <c r="J4" s="70">
        <v>15</v>
      </c>
      <c r="K4" s="71">
        <v>0.25</v>
      </c>
      <c r="L4" s="81">
        <v>50</v>
      </c>
      <c r="M4" s="82">
        <v>12.5</v>
      </c>
      <c r="N4" s="32" t="s">
        <v>279</v>
      </c>
      <c r="O4" s="32" t="s">
        <v>280</v>
      </c>
      <c r="P4" s="32" t="s">
        <v>281</v>
      </c>
    </row>
    <row r="5" spans="1:16" ht="38.6">
      <c r="A5" s="74" t="s">
        <v>282</v>
      </c>
      <c r="B5" s="74" t="s">
        <v>268</v>
      </c>
      <c r="C5" s="75" t="s">
        <v>47</v>
      </c>
      <c r="D5" s="75" t="s">
        <v>55</v>
      </c>
      <c r="E5" s="75" t="s">
        <v>20</v>
      </c>
      <c r="F5" s="75" t="s">
        <v>56</v>
      </c>
      <c r="G5" s="75" t="s">
        <v>57</v>
      </c>
      <c r="H5" s="69" t="s">
        <v>23</v>
      </c>
      <c r="I5" s="70">
        <v>1</v>
      </c>
      <c r="J5" s="70">
        <v>30</v>
      </c>
      <c r="K5" s="71">
        <v>0.5</v>
      </c>
      <c r="L5" s="81">
        <v>50</v>
      </c>
      <c r="M5" s="82">
        <v>25</v>
      </c>
      <c r="N5" s="32" t="s">
        <v>283</v>
      </c>
      <c r="O5" s="32" t="s">
        <v>284</v>
      </c>
      <c r="P5" s="32" t="s">
        <v>285</v>
      </c>
    </row>
    <row r="6" spans="1:16" ht="38.6">
      <c r="A6" s="67" t="s">
        <v>286</v>
      </c>
      <c r="B6" s="67" t="s">
        <v>268</v>
      </c>
      <c r="C6" s="68" t="s">
        <v>47</v>
      </c>
      <c r="D6" s="68" t="s">
        <v>55</v>
      </c>
      <c r="E6" s="68" t="s">
        <v>28</v>
      </c>
      <c r="F6" s="68" t="s">
        <v>61</v>
      </c>
      <c r="G6" s="68" t="s">
        <v>62</v>
      </c>
      <c r="H6" s="69" t="s">
        <v>23</v>
      </c>
      <c r="I6" s="70">
        <v>1</v>
      </c>
      <c r="J6" s="70">
        <v>7.5</v>
      </c>
      <c r="K6" s="71">
        <v>0.125</v>
      </c>
      <c r="L6" s="81">
        <v>50</v>
      </c>
      <c r="M6" s="82">
        <v>6.25</v>
      </c>
      <c r="N6" s="32" t="s">
        <v>287</v>
      </c>
      <c r="O6" s="32" t="s">
        <v>288</v>
      </c>
      <c r="P6" s="32" t="s">
        <v>65</v>
      </c>
    </row>
    <row r="7" spans="1:16" ht="51.45">
      <c r="A7" s="74" t="s">
        <v>289</v>
      </c>
      <c r="B7" s="74" t="s">
        <v>268</v>
      </c>
      <c r="C7" s="75" t="s">
        <v>47</v>
      </c>
      <c r="D7" s="75" t="s">
        <v>48</v>
      </c>
      <c r="E7" s="75" t="s">
        <v>28</v>
      </c>
      <c r="F7" s="75" t="s">
        <v>290</v>
      </c>
      <c r="G7" s="75" t="s">
        <v>291</v>
      </c>
      <c r="H7" s="69" t="s">
        <v>292</v>
      </c>
      <c r="I7" s="70">
        <v>1</v>
      </c>
      <c r="J7" s="70">
        <v>240</v>
      </c>
      <c r="K7" s="71">
        <v>4</v>
      </c>
      <c r="L7" s="81">
        <v>30</v>
      </c>
      <c r="M7" s="82">
        <v>120</v>
      </c>
      <c r="N7" s="32" t="s">
        <v>293</v>
      </c>
      <c r="O7" s="32" t="s">
        <v>294</v>
      </c>
      <c r="P7" s="32" t="s">
        <v>295</v>
      </c>
    </row>
    <row r="8" spans="1:16" ht="64.3">
      <c r="A8" s="67" t="s">
        <v>296</v>
      </c>
      <c r="B8" s="67" t="s">
        <v>268</v>
      </c>
      <c r="C8" s="68" t="s">
        <v>47</v>
      </c>
      <c r="D8" s="68" t="s">
        <v>55</v>
      </c>
      <c r="E8" s="68" t="s">
        <v>72</v>
      </c>
      <c r="F8" s="68" t="s">
        <v>297</v>
      </c>
      <c r="G8" s="68" t="s">
        <v>298</v>
      </c>
      <c r="H8" s="69" t="s">
        <v>299</v>
      </c>
      <c r="I8" s="70">
        <v>1</v>
      </c>
      <c r="J8" s="70">
        <v>60</v>
      </c>
      <c r="K8" s="71">
        <v>1</v>
      </c>
      <c r="L8" s="81">
        <v>30</v>
      </c>
      <c r="M8" s="82">
        <v>30</v>
      </c>
      <c r="N8" s="32" t="s">
        <v>300</v>
      </c>
      <c r="O8" s="32" t="s">
        <v>301</v>
      </c>
      <c r="P8" s="32" t="s">
        <v>302</v>
      </c>
    </row>
    <row r="9" spans="1:16" ht="64.3">
      <c r="A9" s="74" t="s">
        <v>303</v>
      </c>
      <c r="B9" s="74" t="s">
        <v>268</v>
      </c>
      <c r="C9" s="75" t="s">
        <v>47</v>
      </c>
      <c r="D9" s="75" t="s">
        <v>48</v>
      </c>
      <c r="E9" s="75" t="s">
        <v>79</v>
      </c>
      <c r="F9" s="75" t="s">
        <v>1874</v>
      </c>
      <c r="G9" s="75" t="s">
        <v>1875</v>
      </c>
      <c r="H9" s="69" t="s">
        <v>23</v>
      </c>
      <c r="I9" s="70">
        <v>1</v>
      </c>
      <c r="J9" s="70">
        <v>120</v>
      </c>
      <c r="K9" s="71">
        <v>2</v>
      </c>
      <c r="L9" s="81">
        <v>30</v>
      </c>
      <c r="M9" s="82">
        <v>60</v>
      </c>
      <c r="N9" s="32" t="s">
        <v>279</v>
      </c>
      <c r="O9" s="32" t="s">
        <v>304</v>
      </c>
      <c r="P9" s="32" t="s">
        <v>305</v>
      </c>
    </row>
    <row r="10" spans="1:16" ht="51.45">
      <c r="A10" s="67" t="s">
        <v>306</v>
      </c>
      <c r="B10" s="67" t="s">
        <v>268</v>
      </c>
      <c r="C10" s="68" t="s">
        <v>47</v>
      </c>
      <c r="D10" s="68" t="s">
        <v>48</v>
      </c>
      <c r="E10" s="68" t="s">
        <v>79</v>
      </c>
      <c r="F10" s="68" t="s">
        <v>85</v>
      </c>
      <c r="G10" s="68" t="s">
        <v>86</v>
      </c>
      <c r="H10" s="69" t="s">
        <v>23</v>
      </c>
      <c r="I10" s="70">
        <v>1</v>
      </c>
      <c r="J10" s="70">
        <v>30</v>
      </c>
      <c r="K10" s="71">
        <v>0.5</v>
      </c>
      <c r="L10" s="81">
        <v>30</v>
      </c>
      <c r="M10" s="82">
        <v>15</v>
      </c>
      <c r="N10" s="32" t="s">
        <v>279</v>
      </c>
      <c r="O10" s="32" t="s">
        <v>307</v>
      </c>
      <c r="P10" s="32" t="s">
        <v>308</v>
      </c>
    </row>
    <row r="11" spans="1:16" ht="38.6">
      <c r="A11" s="74" t="s">
        <v>309</v>
      </c>
      <c r="B11" s="74" t="s">
        <v>268</v>
      </c>
      <c r="C11" s="75" t="s">
        <v>47</v>
      </c>
      <c r="D11" s="75" t="s">
        <v>48</v>
      </c>
      <c r="E11" s="75" t="s">
        <v>79</v>
      </c>
      <c r="F11" s="75" t="s">
        <v>90</v>
      </c>
      <c r="G11" s="75" t="s">
        <v>91</v>
      </c>
      <c r="H11" s="69" t="s">
        <v>23</v>
      </c>
      <c r="I11" s="70">
        <v>1</v>
      </c>
      <c r="J11" s="70">
        <v>60</v>
      </c>
      <c r="K11" s="71">
        <v>1</v>
      </c>
      <c r="L11" s="81">
        <v>30</v>
      </c>
      <c r="M11" s="82">
        <v>30</v>
      </c>
      <c r="N11" s="32" t="s">
        <v>310</v>
      </c>
      <c r="O11" s="32" t="s">
        <v>311</v>
      </c>
      <c r="P11" s="32" t="s">
        <v>312</v>
      </c>
    </row>
    <row r="12" spans="1:16" ht="38.6">
      <c r="A12" s="67" t="s">
        <v>313</v>
      </c>
      <c r="B12" s="67" t="s">
        <v>268</v>
      </c>
      <c r="C12" s="68" t="s">
        <v>47</v>
      </c>
      <c r="D12" s="68" t="s">
        <v>48</v>
      </c>
      <c r="E12" s="68" t="s">
        <v>79</v>
      </c>
      <c r="F12" s="68" t="s">
        <v>95</v>
      </c>
      <c r="G12" s="68" t="s">
        <v>96</v>
      </c>
      <c r="H12" s="69" t="s">
        <v>23</v>
      </c>
      <c r="I12" s="70">
        <v>1</v>
      </c>
      <c r="J12" s="70">
        <v>60</v>
      </c>
      <c r="K12" s="71">
        <v>1</v>
      </c>
      <c r="L12" s="81">
        <v>30</v>
      </c>
      <c r="M12" s="82">
        <v>30</v>
      </c>
      <c r="N12" s="32" t="s">
        <v>310</v>
      </c>
      <c r="O12" s="32" t="s">
        <v>311</v>
      </c>
      <c r="P12" s="32" t="s">
        <v>312</v>
      </c>
    </row>
    <row r="13" spans="1:16" ht="38.6">
      <c r="A13" s="74" t="s">
        <v>314</v>
      </c>
      <c r="B13" s="74" t="s">
        <v>268</v>
      </c>
      <c r="C13" s="75" t="s">
        <v>47</v>
      </c>
      <c r="D13" s="75" t="s">
        <v>48</v>
      </c>
      <c r="E13" s="75" t="s">
        <v>99</v>
      </c>
      <c r="F13" s="75" t="s">
        <v>100</v>
      </c>
      <c r="G13" s="75" t="s">
        <v>101</v>
      </c>
      <c r="H13" s="69" t="s">
        <v>23</v>
      </c>
      <c r="I13" s="70">
        <v>1</v>
      </c>
      <c r="J13" s="70">
        <v>30</v>
      </c>
      <c r="K13" s="71">
        <v>0.5</v>
      </c>
      <c r="L13" s="81">
        <v>30</v>
      </c>
      <c r="M13" s="82">
        <v>15</v>
      </c>
      <c r="N13" s="32" t="s">
        <v>310</v>
      </c>
      <c r="O13" s="32" t="s">
        <v>311</v>
      </c>
      <c r="P13" s="32" t="s">
        <v>312</v>
      </c>
    </row>
    <row r="14" spans="1:16" ht="38.6">
      <c r="A14" s="67" t="s">
        <v>315</v>
      </c>
      <c r="B14" s="67" t="s">
        <v>268</v>
      </c>
      <c r="C14" s="68" t="s">
        <v>47</v>
      </c>
      <c r="D14" s="68" t="s">
        <v>48</v>
      </c>
      <c r="E14" s="68" t="s">
        <v>99</v>
      </c>
      <c r="F14" s="68" t="s">
        <v>105</v>
      </c>
      <c r="G14" s="68" t="s">
        <v>106</v>
      </c>
      <c r="H14" s="69" t="s">
        <v>23</v>
      </c>
      <c r="I14" s="70">
        <v>1</v>
      </c>
      <c r="J14" s="70">
        <v>30</v>
      </c>
      <c r="K14" s="71">
        <v>0.5</v>
      </c>
      <c r="L14" s="81">
        <v>30</v>
      </c>
      <c r="M14" s="82">
        <v>15</v>
      </c>
      <c r="N14" s="32" t="s">
        <v>310</v>
      </c>
      <c r="O14" s="32" t="s">
        <v>311</v>
      </c>
      <c r="P14" s="32" t="s">
        <v>312</v>
      </c>
    </row>
    <row r="15" spans="1:16" ht="38.6">
      <c r="A15" s="74" t="s">
        <v>316</v>
      </c>
      <c r="B15" s="74" t="s">
        <v>268</v>
      </c>
      <c r="C15" s="75" t="s">
        <v>47</v>
      </c>
      <c r="D15" s="75" t="s">
        <v>48</v>
      </c>
      <c r="E15" s="75" t="s">
        <v>99</v>
      </c>
      <c r="F15" s="75" t="s">
        <v>110</v>
      </c>
      <c r="G15" s="75" t="s">
        <v>111</v>
      </c>
      <c r="H15" s="69" t="s">
        <v>23</v>
      </c>
      <c r="I15" s="70">
        <v>1</v>
      </c>
      <c r="J15" s="70">
        <v>60</v>
      </c>
      <c r="K15" s="71">
        <v>1</v>
      </c>
      <c r="L15" s="81">
        <v>30</v>
      </c>
      <c r="M15" s="82">
        <v>30</v>
      </c>
      <c r="N15" s="32" t="s">
        <v>310</v>
      </c>
      <c r="O15" s="32" t="s">
        <v>311</v>
      </c>
      <c r="P15" s="32" t="s">
        <v>312</v>
      </c>
    </row>
    <row r="16" spans="1:16" ht="38.6">
      <c r="A16" s="67" t="s">
        <v>317</v>
      </c>
      <c r="B16" s="67" t="s">
        <v>268</v>
      </c>
      <c r="C16" s="68" t="s">
        <v>47</v>
      </c>
      <c r="D16" s="68" t="s">
        <v>48</v>
      </c>
      <c r="E16" s="68" t="s">
        <v>99</v>
      </c>
      <c r="F16" s="68" t="s">
        <v>115</v>
      </c>
      <c r="G16" s="68" t="s">
        <v>116</v>
      </c>
      <c r="H16" s="69" t="s">
        <v>23</v>
      </c>
      <c r="I16" s="70">
        <v>1</v>
      </c>
      <c r="J16" s="70">
        <v>30</v>
      </c>
      <c r="K16" s="71">
        <v>0.5</v>
      </c>
      <c r="L16" s="81">
        <v>30</v>
      </c>
      <c r="M16" s="82">
        <v>15</v>
      </c>
      <c r="N16" s="32" t="s">
        <v>310</v>
      </c>
      <c r="O16" s="32" t="s">
        <v>311</v>
      </c>
      <c r="P16" s="32" t="s">
        <v>312</v>
      </c>
    </row>
    <row r="17" spans="1:16" ht="38.6">
      <c r="A17" s="74" t="s">
        <v>318</v>
      </c>
      <c r="B17" s="74" t="s">
        <v>268</v>
      </c>
      <c r="C17" s="75" t="s">
        <v>47</v>
      </c>
      <c r="D17" s="75" t="s">
        <v>48</v>
      </c>
      <c r="E17" s="75" t="s">
        <v>99</v>
      </c>
      <c r="F17" s="75" t="s">
        <v>120</v>
      </c>
      <c r="G17" s="75" t="s">
        <v>121</v>
      </c>
      <c r="H17" s="69" t="s">
        <v>23</v>
      </c>
      <c r="I17" s="70">
        <v>1</v>
      </c>
      <c r="J17" s="70">
        <v>30</v>
      </c>
      <c r="K17" s="71">
        <v>0.5</v>
      </c>
      <c r="L17" s="81">
        <v>30</v>
      </c>
      <c r="M17" s="82">
        <v>15</v>
      </c>
      <c r="N17" s="32" t="s">
        <v>310</v>
      </c>
      <c r="O17" s="32" t="s">
        <v>311</v>
      </c>
      <c r="P17" s="32" t="s">
        <v>312</v>
      </c>
    </row>
    <row r="18" spans="1:16" ht="38.6">
      <c r="A18" s="67" t="s">
        <v>319</v>
      </c>
      <c r="B18" s="67" t="s">
        <v>268</v>
      </c>
      <c r="C18" s="68" t="s">
        <v>47</v>
      </c>
      <c r="D18" s="68" t="s">
        <v>48</v>
      </c>
      <c r="E18" s="68" t="s">
        <v>99</v>
      </c>
      <c r="F18" s="68" t="s">
        <v>125</v>
      </c>
      <c r="G18" s="68" t="s">
        <v>126</v>
      </c>
      <c r="H18" s="69" t="s">
        <v>23</v>
      </c>
      <c r="I18" s="70">
        <v>1</v>
      </c>
      <c r="J18" s="70">
        <v>30</v>
      </c>
      <c r="K18" s="71">
        <v>0.5</v>
      </c>
      <c r="L18" s="81">
        <v>30</v>
      </c>
      <c r="M18" s="82">
        <v>15</v>
      </c>
      <c r="N18" s="32" t="s">
        <v>310</v>
      </c>
      <c r="O18" s="32" t="s">
        <v>311</v>
      </c>
      <c r="P18" s="32" t="s">
        <v>312</v>
      </c>
    </row>
    <row r="19" spans="1:16" ht="51.45">
      <c r="A19" s="74" t="s">
        <v>320</v>
      </c>
      <c r="B19" s="74" t="s">
        <v>268</v>
      </c>
      <c r="C19" s="75" t="s">
        <v>47</v>
      </c>
      <c r="D19" s="75" t="s">
        <v>48</v>
      </c>
      <c r="E19" s="75" t="s">
        <v>130</v>
      </c>
      <c r="F19" s="75" t="s">
        <v>131</v>
      </c>
      <c r="G19" s="75" t="s">
        <v>132</v>
      </c>
      <c r="H19" s="69" t="s">
        <v>133</v>
      </c>
      <c r="I19" s="70">
        <v>1</v>
      </c>
      <c r="J19" s="70">
        <v>30</v>
      </c>
      <c r="K19" s="71">
        <v>0.5</v>
      </c>
      <c r="L19" s="81">
        <v>30</v>
      </c>
      <c r="M19" s="82">
        <v>15</v>
      </c>
      <c r="N19" s="32" t="s">
        <v>279</v>
      </c>
      <c r="O19" s="32" t="s">
        <v>307</v>
      </c>
      <c r="P19" s="32" t="s">
        <v>308</v>
      </c>
    </row>
    <row r="20" spans="1:16" ht="51.45">
      <c r="A20" s="67" t="s">
        <v>321</v>
      </c>
      <c r="B20" s="67" t="s">
        <v>268</v>
      </c>
      <c r="C20" s="68" t="s">
        <v>47</v>
      </c>
      <c r="D20" s="68" t="s">
        <v>48</v>
      </c>
      <c r="E20" s="68" t="s">
        <v>130</v>
      </c>
      <c r="F20" s="68" t="s">
        <v>136</v>
      </c>
      <c r="G20" s="68" t="s">
        <v>137</v>
      </c>
      <c r="H20" s="69" t="s">
        <v>133</v>
      </c>
      <c r="I20" s="70">
        <v>1</v>
      </c>
      <c r="J20" s="70">
        <v>30</v>
      </c>
      <c r="K20" s="71">
        <v>0.5</v>
      </c>
      <c r="L20" s="81">
        <v>30</v>
      </c>
      <c r="M20" s="82">
        <v>15</v>
      </c>
      <c r="N20" s="32" t="s">
        <v>279</v>
      </c>
      <c r="O20" s="32" t="s">
        <v>307</v>
      </c>
      <c r="P20" s="32" t="s">
        <v>308</v>
      </c>
    </row>
    <row r="21" spans="1:16" ht="64.3">
      <c r="A21" s="74" t="s">
        <v>322</v>
      </c>
      <c r="B21" s="74" t="s">
        <v>268</v>
      </c>
      <c r="C21" s="75" t="s">
        <v>47</v>
      </c>
      <c r="D21" s="75" t="s">
        <v>55</v>
      </c>
      <c r="E21" s="75" t="s">
        <v>216</v>
      </c>
      <c r="F21" s="75" t="s">
        <v>323</v>
      </c>
      <c r="G21" s="75" t="s">
        <v>324</v>
      </c>
      <c r="H21" s="69" t="s">
        <v>219</v>
      </c>
      <c r="I21" s="70">
        <v>1</v>
      </c>
      <c r="J21" s="70">
        <v>120</v>
      </c>
      <c r="K21" s="71">
        <v>2</v>
      </c>
      <c r="L21" s="81">
        <v>25</v>
      </c>
      <c r="M21" s="82">
        <v>50</v>
      </c>
      <c r="N21" s="32" t="s">
        <v>300</v>
      </c>
      <c r="O21" s="32" t="s">
        <v>325</v>
      </c>
      <c r="P21" s="32" t="s">
        <v>326</v>
      </c>
    </row>
    <row r="22" spans="1:16" ht="51.45">
      <c r="A22" s="67" t="s">
        <v>327</v>
      </c>
      <c r="B22" s="67" t="s">
        <v>268</v>
      </c>
      <c r="C22" s="68" t="s">
        <v>47</v>
      </c>
      <c r="D22" s="68" t="s">
        <v>48</v>
      </c>
      <c r="E22" s="68" t="s">
        <v>141</v>
      </c>
      <c r="F22" s="68" t="s">
        <v>142</v>
      </c>
      <c r="G22" s="68" t="s">
        <v>143</v>
      </c>
      <c r="H22" s="69" t="s">
        <v>23</v>
      </c>
      <c r="I22" s="70">
        <v>1</v>
      </c>
      <c r="J22" s="70">
        <v>30</v>
      </c>
      <c r="K22" s="71">
        <v>0.5</v>
      </c>
      <c r="L22" s="81">
        <v>30</v>
      </c>
      <c r="M22" s="82">
        <v>15</v>
      </c>
      <c r="N22" s="32" t="s">
        <v>279</v>
      </c>
      <c r="O22" s="32" t="s">
        <v>328</v>
      </c>
      <c r="P22" s="32" t="s">
        <v>329</v>
      </c>
    </row>
    <row r="23" spans="1:16" ht="51.45">
      <c r="A23" s="74" t="s">
        <v>330</v>
      </c>
      <c r="B23" s="74" t="s">
        <v>268</v>
      </c>
      <c r="C23" s="75" t="s">
        <v>47</v>
      </c>
      <c r="D23" s="75" t="s">
        <v>48</v>
      </c>
      <c r="E23" s="75" t="s">
        <v>141</v>
      </c>
      <c r="F23" s="75" t="s">
        <v>147</v>
      </c>
      <c r="G23" s="75" t="s">
        <v>148</v>
      </c>
      <c r="H23" s="69" t="s">
        <v>23</v>
      </c>
      <c r="I23" s="70">
        <v>1</v>
      </c>
      <c r="J23" s="70">
        <v>90</v>
      </c>
      <c r="K23" s="71">
        <v>1.5</v>
      </c>
      <c r="L23" s="81">
        <v>30</v>
      </c>
      <c r="M23" s="82">
        <v>45</v>
      </c>
      <c r="N23" s="32" t="s">
        <v>279</v>
      </c>
      <c r="O23" s="32" t="s">
        <v>331</v>
      </c>
      <c r="P23" s="32" t="s">
        <v>332</v>
      </c>
    </row>
    <row r="24" spans="1:16" ht="51.45">
      <c r="A24" s="67" t="s">
        <v>333</v>
      </c>
      <c r="B24" s="67" t="s">
        <v>268</v>
      </c>
      <c r="C24" s="68" t="s">
        <v>47</v>
      </c>
      <c r="D24" s="68" t="s">
        <v>48</v>
      </c>
      <c r="E24" s="68" t="s">
        <v>141</v>
      </c>
      <c r="F24" s="68" t="s">
        <v>152</v>
      </c>
      <c r="G24" s="68" t="s">
        <v>153</v>
      </c>
      <c r="H24" s="69" t="s">
        <v>23</v>
      </c>
      <c r="I24" s="70">
        <v>1</v>
      </c>
      <c r="J24" s="70">
        <v>30</v>
      </c>
      <c r="K24" s="71">
        <v>0.5</v>
      </c>
      <c r="L24" s="81">
        <v>30</v>
      </c>
      <c r="M24" s="82">
        <v>15</v>
      </c>
      <c r="N24" s="32" t="s">
        <v>279</v>
      </c>
      <c r="O24" s="32" t="s">
        <v>328</v>
      </c>
      <c r="P24" s="32" t="s">
        <v>334</v>
      </c>
    </row>
    <row r="25" spans="1:16" ht="51.45">
      <c r="A25" s="74" t="s">
        <v>335</v>
      </c>
      <c r="B25" s="74" t="s">
        <v>268</v>
      </c>
      <c r="C25" s="75" t="s">
        <v>47</v>
      </c>
      <c r="D25" s="75" t="s">
        <v>48</v>
      </c>
      <c r="E25" s="75" t="s">
        <v>156</v>
      </c>
      <c r="F25" s="75" t="s">
        <v>336</v>
      </c>
      <c r="G25" s="75" t="s">
        <v>337</v>
      </c>
      <c r="H25" s="69" t="s">
        <v>159</v>
      </c>
      <c r="I25" s="70">
        <v>1</v>
      </c>
      <c r="J25" s="70">
        <v>240</v>
      </c>
      <c r="K25" s="71">
        <v>4</v>
      </c>
      <c r="L25" s="81">
        <v>30</v>
      </c>
      <c r="M25" s="82">
        <v>120</v>
      </c>
      <c r="N25" s="32" t="s">
        <v>338</v>
      </c>
      <c r="O25" s="32" t="s">
        <v>339</v>
      </c>
      <c r="P25" s="32" t="s">
        <v>340</v>
      </c>
    </row>
    <row r="26" spans="1:16" ht="51.45">
      <c r="A26" s="67" t="s">
        <v>341</v>
      </c>
      <c r="B26" s="67" t="s">
        <v>268</v>
      </c>
      <c r="C26" s="68" t="s">
        <v>163</v>
      </c>
      <c r="D26" s="68" t="s">
        <v>164</v>
      </c>
      <c r="E26" s="68" t="s">
        <v>165</v>
      </c>
      <c r="F26" s="68" t="s">
        <v>342</v>
      </c>
      <c r="G26" s="68" t="s">
        <v>343</v>
      </c>
      <c r="H26" s="69" t="s">
        <v>1795</v>
      </c>
      <c r="I26" s="86">
        <f>1/Annahmen!$C$77</f>
        <v>6.6666666666666671E-3</v>
      </c>
      <c r="J26" s="70">
        <v>240</v>
      </c>
      <c r="K26" s="87">
        <f>I26*J26/60</f>
        <v>2.6666666666666668E-2</v>
      </c>
      <c r="L26" s="81">
        <v>30</v>
      </c>
      <c r="M26" s="82">
        <f>K26*L26</f>
        <v>0.8</v>
      </c>
      <c r="N26" s="32" t="s">
        <v>279</v>
      </c>
      <c r="O26" s="32" t="s">
        <v>344</v>
      </c>
      <c r="P26" s="32" t="s">
        <v>345</v>
      </c>
    </row>
    <row r="27" spans="1:16" ht="90">
      <c r="A27" s="74" t="s">
        <v>346</v>
      </c>
      <c r="B27" s="74" t="s">
        <v>268</v>
      </c>
      <c r="C27" s="75" t="s">
        <v>163</v>
      </c>
      <c r="D27" s="75" t="s">
        <v>164</v>
      </c>
      <c r="E27" s="75" t="s">
        <v>28</v>
      </c>
      <c r="F27" s="75" t="s">
        <v>347</v>
      </c>
      <c r="G27" s="75" t="s">
        <v>348</v>
      </c>
      <c r="H27" s="69" t="s">
        <v>1876</v>
      </c>
      <c r="I27" s="86">
        <f>1/Annahmen!$C$77</f>
        <v>6.6666666666666671E-3</v>
      </c>
      <c r="J27" s="70">
        <v>240</v>
      </c>
      <c r="K27" s="87">
        <f>I27*J27/60</f>
        <v>2.6666666666666668E-2</v>
      </c>
      <c r="L27" s="81">
        <v>30</v>
      </c>
      <c r="M27" s="82">
        <f>K27*L27</f>
        <v>0.8</v>
      </c>
      <c r="N27" s="32" t="s">
        <v>349</v>
      </c>
      <c r="O27" s="32" t="s">
        <v>350</v>
      </c>
      <c r="P27" s="32" t="s">
        <v>351</v>
      </c>
    </row>
    <row r="28" spans="1:16" ht="38.6">
      <c r="A28" s="67" t="s">
        <v>352</v>
      </c>
      <c r="B28" s="67" t="s">
        <v>268</v>
      </c>
      <c r="C28" s="68" t="s">
        <v>47</v>
      </c>
      <c r="D28" s="68" t="s">
        <v>48</v>
      </c>
      <c r="E28" s="68" t="s">
        <v>180</v>
      </c>
      <c r="F28" s="68" t="s">
        <v>353</v>
      </c>
      <c r="G28" s="68" t="s">
        <v>354</v>
      </c>
      <c r="H28" s="69" t="s">
        <v>355</v>
      </c>
      <c r="I28" s="70">
        <v>1</v>
      </c>
      <c r="J28" s="70">
        <v>15</v>
      </c>
      <c r="K28" s="71">
        <v>0.25</v>
      </c>
      <c r="L28" s="81">
        <v>30</v>
      </c>
      <c r="M28" s="82">
        <v>7.5</v>
      </c>
      <c r="N28" s="32" t="s">
        <v>310</v>
      </c>
      <c r="O28" s="32" t="s">
        <v>356</v>
      </c>
      <c r="P28" s="32" t="s">
        <v>357</v>
      </c>
    </row>
    <row r="29" spans="1:16" ht="1.2" customHeight="1">
      <c r="A29" s="76" t="s">
        <v>358</v>
      </c>
      <c r="B29" s="76" t="s">
        <v>268</v>
      </c>
      <c r="C29" s="76" t="s">
        <v>47</v>
      </c>
      <c r="D29" s="76" t="s">
        <v>48</v>
      </c>
      <c r="E29" s="76" t="s">
        <v>188</v>
      </c>
      <c r="F29" s="76" t="s">
        <v>359</v>
      </c>
      <c r="G29" s="76" t="s">
        <v>360</v>
      </c>
      <c r="H29" s="77" t="s">
        <v>361</v>
      </c>
      <c r="I29" s="78">
        <v>1</v>
      </c>
      <c r="J29" s="78">
        <v>30</v>
      </c>
      <c r="K29" s="79">
        <v>0.5</v>
      </c>
      <c r="L29" s="78">
        <v>30</v>
      </c>
      <c r="M29" s="79">
        <v>15</v>
      </c>
      <c r="N29" s="80" t="s">
        <v>362</v>
      </c>
      <c r="O29" s="80" t="s">
        <v>363</v>
      </c>
      <c r="P29" s="80" t="s">
        <v>364</v>
      </c>
    </row>
    <row r="30" spans="1:16" ht="1.2" customHeight="1">
      <c r="A30" s="76" t="s">
        <v>365</v>
      </c>
      <c r="B30" s="76" t="s">
        <v>268</v>
      </c>
      <c r="C30" s="76" t="s">
        <v>47</v>
      </c>
      <c r="D30" s="76" t="s">
        <v>48</v>
      </c>
      <c r="E30" s="76" t="s">
        <v>188</v>
      </c>
      <c r="F30" s="76" t="s">
        <v>366</v>
      </c>
      <c r="G30" s="76" t="s">
        <v>367</v>
      </c>
      <c r="H30" s="77" t="s">
        <v>175</v>
      </c>
      <c r="I30" s="78">
        <v>1</v>
      </c>
      <c r="J30" s="78">
        <v>60</v>
      </c>
      <c r="K30" s="79">
        <v>1</v>
      </c>
      <c r="L30" s="78">
        <v>30</v>
      </c>
      <c r="M30" s="79">
        <v>30</v>
      </c>
      <c r="N30" s="80" t="s">
        <v>362</v>
      </c>
      <c r="O30" s="80" t="s">
        <v>368</v>
      </c>
      <c r="P30" s="80" t="s">
        <v>369</v>
      </c>
    </row>
    <row r="31" spans="1:16" ht="1.2" customHeight="1">
      <c r="A31" s="76" t="s">
        <v>370</v>
      </c>
      <c r="B31" s="76" t="s">
        <v>268</v>
      </c>
      <c r="C31" s="76" t="s">
        <v>47</v>
      </c>
      <c r="D31" s="76" t="s">
        <v>48</v>
      </c>
      <c r="E31" s="76" t="s">
        <v>79</v>
      </c>
      <c r="F31" s="76" t="s">
        <v>371</v>
      </c>
      <c r="G31" s="76" t="s">
        <v>372</v>
      </c>
      <c r="H31" s="77" t="s">
        <v>175</v>
      </c>
      <c r="I31" s="78">
        <v>1</v>
      </c>
      <c r="J31" s="78">
        <v>30</v>
      </c>
      <c r="K31" s="79">
        <v>0.5</v>
      </c>
      <c r="L31" s="78">
        <v>30</v>
      </c>
      <c r="M31" s="79">
        <v>15</v>
      </c>
      <c r="N31" s="80" t="s">
        <v>373</v>
      </c>
      <c r="O31" s="80" t="s">
        <v>374</v>
      </c>
      <c r="P31" s="80" t="s">
        <v>375</v>
      </c>
    </row>
    <row r="32" spans="1:16" ht="1.2" customHeight="1">
      <c r="A32" s="76" t="s">
        <v>376</v>
      </c>
      <c r="B32" s="76" t="s">
        <v>268</v>
      </c>
      <c r="C32" s="76" t="s">
        <v>47</v>
      </c>
      <c r="D32" s="76" t="s">
        <v>48</v>
      </c>
      <c r="E32" s="76" t="s">
        <v>180</v>
      </c>
      <c r="F32" s="76" t="s">
        <v>377</v>
      </c>
      <c r="G32" s="76" t="s">
        <v>378</v>
      </c>
      <c r="H32" s="77" t="s">
        <v>379</v>
      </c>
      <c r="I32" s="78">
        <v>1</v>
      </c>
      <c r="J32" s="78">
        <v>30</v>
      </c>
      <c r="K32" s="79">
        <v>0.5</v>
      </c>
      <c r="L32" s="78">
        <v>30</v>
      </c>
      <c r="M32" s="79">
        <v>15</v>
      </c>
      <c r="N32" s="80" t="s">
        <v>373</v>
      </c>
      <c r="O32" s="80" t="s">
        <v>380</v>
      </c>
      <c r="P32" s="80" t="s">
        <v>381</v>
      </c>
    </row>
    <row r="33" spans="1:16" ht="1.2" customHeight="1">
      <c r="A33" s="76" t="s">
        <v>382</v>
      </c>
      <c r="B33" s="76" t="s">
        <v>268</v>
      </c>
      <c r="C33" s="76" t="s">
        <v>47</v>
      </c>
      <c r="D33" s="76" t="s">
        <v>48</v>
      </c>
      <c r="E33" s="76" t="s">
        <v>141</v>
      </c>
      <c r="F33" s="76" t="s">
        <v>383</v>
      </c>
      <c r="G33" s="76" t="s">
        <v>384</v>
      </c>
      <c r="H33" s="77" t="s">
        <v>133</v>
      </c>
      <c r="I33" s="78">
        <v>1</v>
      </c>
      <c r="J33" s="78">
        <v>30</v>
      </c>
      <c r="K33" s="79">
        <v>0.5</v>
      </c>
      <c r="L33" s="78">
        <v>30</v>
      </c>
      <c r="M33" s="79">
        <v>15</v>
      </c>
      <c r="N33" s="80" t="s">
        <v>310</v>
      </c>
      <c r="O33" s="80" t="s">
        <v>385</v>
      </c>
      <c r="P33" s="80" t="s">
        <v>386</v>
      </c>
    </row>
    <row r="34" spans="1:16" ht="1.2" customHeight="1">
      <c r="A34" s="76" t="s">
        <v>387</v>
      </c>
      <c r="B34" s="76" t="s">
        <v>268</v>
      </c>
      <c r="C34" s="76" t="s">
        <v>18</v>
      </c>
      <c r="D34" s="76" t="s">
        <v>19</v>
      </c>
      <c r="E34" s="76" t="s">
        <v>172</v>
      </c>
      <c r="F34" s="76" t="s">
        <v>388</v>
      </c>
      <c r="G34" s="76" t="s">
        <v>389</v>
      </c>
      <c r="H34" s="77" t="s">
        <v>175</v>
      </c>
      <c r="I34" s="78">
        <v>1</v>
      </c>
      <c r="J34" s="78">
        <v>30</v>
      </c>
      <c r="K34" s="79">
        <v>0.5</v>
      </c>
      <c r="L34" s="78">
        <v>50</v>
      </c>
      <c r="M34" s="79">
        <v>25</v>
      </c>
      <c r="N34" s="80" t="s">
        <v>279</v>
      </c>
      <c r="O34" s="80" t="s">
        <v>390</v>
      </c>
      <c r="P34" s="80" t="s">
        <v>391</v>
      </c>
    </row>
    <row r="35" spans="1:16" ht="42.45">
      <c r="A35" s="33" t="s">
        <v>392</v>
      </c>
      <c r="B35" s="33" t="s">
        <v>268</v>
      </c>
      <c r="C35" s="33" t="s">
        <v>18</v>
      </c>
      <c r="D35" s="33" t="s">
        <v>19</v>
      </c>
      <c r="E35" s="33" t="s">
        <v>130</v>
      </c>
      <c r="F35" s="33" t="s">
        <v>393</v>
      </c>
      <c r="G35" s="33" t="s">
        <v>394</v>
      </c>
      <c r="H35" s="33" t="s">
        <v>133</v>
      </c>
      <c r="I35" s="33">
        <v>1</v>
      </c>
      <c r="J35" s="33">
        <v>15</v>
      </c>
      <c r="K35" s="33">
        <v>0.25</v>
      </c>
      <c r="L35" s="33">
        <v>50</v>
      </c>
      <c r="M35" s="33">
        <v>12.5</v>
      </c>
      <c r="N35" s="33" t="s">
        <v>310</v>
      </c>
      <c r="O35" s="33" t="s">
        <v>395</v>
      </c>
      <c r="P35" s="33" t="s">
        <v>396</v>
      </c>
    </row>
    <row r="36" spans="1:16" ht="42.45">
      <c r="A36" s="33" t="s">
        <v>397</v>
      </c>
      <c r="B36" s="33" t="s">
        <v>268</v>
      </c>
      <c r="C36" s="33" t="s">
        <v>47</v>
      </c>
      <c r="D36" s="33" t="s">
        <v>48</v>
      </c>
      <c r="E36" s="33" t="s">
        <v>20</v>
      </c>
      <c r="F36" s="33" t="s">
        <v>235</v>
      </c>
      <c r="G36" s="33" t="s">
        <v>398</v>
      </c>
      <c r="H36" s="33" t="s">
        <v>23</v>
      </c>
      <c r="I36" s="33">
        <v>1</v>
      </c>
      <c r="J36" s="33">
        <v>30</v>
      </c>
      <c r="K36" s="33">
        <v>0.5</v>
      </c>
      <c r="L36" s="33">
        <v>50</v>
      </c>
      <c r="M36" s="33">
        <v>25</v>
      </c>
      <c r="N36" s="33" t="s">
        <v>279</v>
      </c>
      <c r="O36" s="33" t="s">
        <v>399</v>
      </c>
      <c r="P36" s="33" t="s">
        <v>400</v>
      </c>
    </row>
    <row r="37" spans="1:16" ht="28.3">
      <c r="A37" s="33" t="s">
        <v>401</v>
      </c>
      <c r="B37" s="33" t="s">
        <v>268</v>
      </c>
      <c r="C37" s="33" t="s">
        <v>47</v>
      </c>
      <c r="D37" s="33" t="s">
        <v>48</v>
      </c>
      <c r="E37" s="33" t="s">
        <v>156</v>
      </c>
      <c r="F37" s="33" t="s">
        <v>402</v>
      </c>
      <c r="G37" s="33" t="s">
        <v>403</v>
      </c>
      <c r="H37" s="33" t="s">
        <v>175</v>
      </c>
      <c r="I37" s="33">
        <v>1</v>
      </c>
      <c r="J37" s="33">
        <v>60</v>
      </c>
      <c r="K37" s="33">
        <v>1</v>
      </c>
      <c r="L37" s="33">
        <v>30</v>
      </c>
      <c r="M37" s="33">
        <v>30</v>
      </c>
      <c r="N37" s="33" t="s">
        <v>310</v>
      </c>
      <c r="O37" s="33" t="s">
        <v>404</v>
      </c>
      <c r="P37" s="33" t="s">
        <v>405</v>
      </c>
    </row>
    <row r="38" spans="1:16" ht="70.75">
      <c r="A38" s="33" t="s">
        <v>406</v>
      </c>
      <c r="B38" s="33" t="s">
        <v>268</v>
      </c>
      <c r="C38" s="33" t="s">
        <v>163</v>
      </c>
      <c r="D38" s="33" t="s">
        <v>164</v>
      </c>
      <c r="E38" s="33" t="s">
        <v>165</v>
      </c>
      <c r="F38" s="33" t="s">
        <v>245</v>
      </c>
      <c r="G38" s="33" t="s">
        <v>246</v>
      </c>
      <c r="H38" s="33" t="s">
        <v>1795</v>
      </c>
      <c r="I38" s="88">
        <f>1/Annahmen!$C$77</f>
        <v>6.6666666666666671E-3</v>
      </c>
      <c r="J38" s="33">
        <v>30</v>
      </c>
      <c r="K38" s="89">
        <f>I38*J38/60</f>
        <v>3.3333333333333335E-3</v>
      </c>
      <c r="L38" s="33">
        <v>30</v>
      </c>
      <c r="M38" s="33">
        <f>K38*L38</f>
        <v>0.1</v>
      </c>
      <c r="N38" s="33" t="s">
        <v>310</v>
      </c>
      <c r="O38" s="33" t="s">
        <v>407</v>
      </c>
      <c r="P38" s="33" t="s">
        <v>408</v>
      </c>
    </row>
    <row r="39" spans="1:16" ht="70.75">
      <c r="A39" s="33" t="s">
        <v>409</v>
      </c>
      <c r="B39" s="33" t="s">
        <v>268</v>
      </c>
      <c r="C39" s="33" t="s">
        <v>163</v>
      </c>
      <c r="D39" s="33" t="s">
        <v>164</v>
      </c>
      <c r="E39" s="33" t="s">
        <v>28</v>
      </c>
      <c r="F39" s="33" t="s">
        <v>250</v>
      </c>
      <c r="G39" s="33" t="s">
        <v>410</v>
      </c>
      <c r="H39" s="33" t="s">
        <v>1795</v>
      </c>
      <c r="I39" s="88">
        <f>1/Annahmen!$C$77</f>
        <v>6.6666666666666671E-3</v>
      </c>
      <c r="J39" s="33">
        <v>30</v>
      </c>
      <c r="K39" s="89">
        <f>I39*J39/60</f>
        <v>3.3333333333333335E-3</v>
      </c>
      <c r="L39" s="33">
        <v>30</v>
      </c>
      <c r="M39" s="33">
        <f>K39*L39</f>
        <v>0.1</v>
      </c>
      <c r="N39" s="33" t="s">
        <v>411</v>
      </c>
      <c r="O39" s="33" t="s">
        <v>412</v>
      </c>
      <c r="P39" s="33" t="s">
        <v>413</v>
      </c>
    </row>
    <row r="40" spans="1:16" ht="28.3">
      <c r="A40" s="33" t="s">
        <v>414</v>
      </c>
      <c r="B40" s="33" t="s">
        <v>268</v>
      </c>
      <c r="C40" s="33" t="s">
        <v>47</v>
      </c>
      <c r="D40" s="33" t="s">
        <v>48</v>
      </c>
      <c r="E40" s="33" t="s">
        <v>172</v>
      </c>
      <c r="F40" s="33" t="s">
        <v>256</v>
      </c>
      <c r="G40" s="33" t="s">
        <v>257</v>
      </c>
      <c r="H40" s="33" t="s">
        <v>175</v>
      </c>
      <c r="I40" s="33">
        <v>1</v>
      </c>
      <c r="J40" s="33">
        <v>15</v>
      </c>
      <c r="K40" s="33">
        <v>0.25</v>
      </c>
      <c r="L40" s="33">
        <v>30</v>
      </c>
      <c r="M40" s="33">
        <v>7.5</v>
      </c>
      <c r="N40" s="33" t="s">
        <v>411</v>
      </c>
      <c r="O40" s="33" t="s">
        <v>412</v>
      </c>
      <c r="P40" s="33" t="s">
        <v>413</v>
      </c>
    </row>
    <row r="41" spans="1:16" ht="42.45">
      <c r="A41" s="33" t="s">
        <v>415</v>
      </c>
      <c r="B41" s="33" t="s">
        <v>268</v>
      </c>
      <c r="C41" s="33" t="s">
        <v>260</v>
      </c>
      <c r="D41" s="33" t="s">
        <v>261</v>
      </c>
      <c r="E41" s="33" t="s">
        <v>20</v>
      </c>
      <c r="F41" s="33" t="s">
        <v>416</v>
      </c>
      <c r="G41" s="33" t="s">
        <v>417</v>
      </c>
      <c r="H41" s="33" t="s">
        <v>23</v>
      </c>
      <c r="I41" s="33">
        <v>1</v>
      </c>
      <c r="J41" s="33">
        <v>60</v>
      </c>
      <c r="K41" s="33">
        <v>1</v>
      </c>
      <c r="L41" s="33">
        <v>30</v>
      </c>
      <c r="M41" s="33">
        <v>30</v>
      </c>
      <c r="N41" s="33" t="s">
        <v>418</v>
      </c>
      <c r="O41" s="33" t="s">
        <v>419</v>
      </c>
      <c r="P41" s="33" t="s">
        <v>59</v>
      </c>
    </row>
    <row r="42" spans="1:16" ht="56.6">
      <c r="A42" s="33" t="s">
        <v>420</v>
      </c>
      <c r="B42" s="33" t="s">
        <v>268</v>
      </c>
      <c r="C42" s="33" t="s">
        <v>47</v>
      </c>
      <c r="D42" s="33" t="s">
        <v>55</v>
      </c>
      <c r="E42" s="33" t="s">
        <v>216</v>
      </c>
      <c r="F42" s="33" t="s">
        <v>421</v>
      </c>
      <c r="G42" s="33" t="s">
        <v>422</v>
      </c>
      <c r="H42" s="33" t="s">
        <v>292</v>
      </c>
      <c r="I42" s="33">
        <v>1</v>
      </c>
      <c r="J42" s="33">
        <v>30</v>
      </c>
      <c r="K42" s="33">
        <v>0.5</v>
      </c>
      <c r="L42" s="33">
        <v>30</v>
      </c>
      <c r="M42" s="33">
        <v>15</v>
      </c>
      <c r="N42" s="33" t="s">
        <v>418</v>
      </c>
      <c r="O42" s="33" t="s">
        <v>423</v>
      </c>
      <c r="P42" s="33" t="s">
        <v>424</v>
      </c>
    </row>
    <row r="43" spans="1:16" ht="70.75">
      <c r="A43" s="33" t="s">
        <v>425</v>
      </c>
      <c r="B43" s="33" t="s">
        <v>268</v>
      </c>
      <c r="C43" s="33" t="s">
        <v>47</v>
      </c>
      <c r="D43" s="33" t="s">
        <v>55</v>
      </c>
      <c r="E43" s="33" t="s">
        <v>172</v>
      </c>
      <c r="F43" s="33" t="s">
        <v>426</v>
      </c>
      <c r="G43" s="33" t="s">
        <v>427</v>
      </c>
      <c r="H43" s="33" t="s">
        <v>428</v>
      </c>
      <c r="I43" s="33">
        <v>1</v>
      </c>
      <c r="J43" s="33">
        <v>30</v>
      </c>
      <c r="K43" s="33">
        <v>0.5</v>
      </c>
      <c r="L43" s="33">
        <v>30</v>
      </c>
      <c r="M43" s="33">
        <v>15</v>
      </c>
      <c r="N43" s="33" t="s">
        <v>429</v>
      </c>
      <c r="O43" s="33" t="s">
        <v>430</v>
      </c>
      <c r="P43" s="33" t="s">
        <v>431</v>
      </c>
    </row>
    <row r="44" spans="1:16" ht="51.45" customHeight="1">
      <c r="A44" s="33" t="s">
        <v>432</v>
      </c>
      <c r="B44" s="33" t="s">
        <v>268</v>
      </c>
      <c r="C44" s="33" t="s">
        <v>260</v>
      </c>
      <c r="D44" s="33" t="s">
        <v>1836</v>
      </c>
      <c r="E44" s="33" t="s">
        <v>1862</v>
      </c>
      <c r="F44" s="33" t="s">
        <v>1863</v>
      </c>
      <c r="G44" s="33" t="s">
        <v>1864</v>
      </c>
      <c r="H44" s="33" t="s">
        <v>1840</v>
      </c>
      <c r="I44" s="88">
        <f>1</f>
        <v>1</v>
      </c>
      <c r="J44" s="85">
        <f>Annahmen!$C$91</f>
        <v>5</v>
      </c>
      <c r="K44" s="89">
        <f>I44*J44/60</f>
        <v>8.3333333333333329E-2</v>
      </c>
      <c r="L44" s="33">
        <v>30</v>
      </c>
      <c r="M44" s="33">
        <f>K44*L44</f>
        <v>2.5</v>
      </c>
      <c r="N44" s="33" t="s">
        <v>418</v>
      </c>
      <c r="O44" s="33" t="s">
        <v>1877</v>
      </c>
      <c r="P44" s="33" t="s">
        <v>1773</v>
      </c>
    </row>
    <row r="45" spans="1:16">
      <c r="A45" t="s">
        <v>1775</v>
      </c>
      <c r="B45" t="s">
        <v>268</v>
      </c>
      <c r="C45" t="s">
        <v>18</v>
      </c>
      <c r="D45" t="s">
        <v>19</v>
      </c>
      <c r="E45" t="s">
        <v>28</v>
      </c>
      <c r="F45" t="s">
        <v>1878</v>
      </c>
      <c r="G45" t="s">
        <v>1879</v>
      </c>
      <c r="H45" t="s">
        <v>1880</v>
      </c>
      <c r="I45">
        <v>1</v>
      </c>
      <c r="J45">
        <v>30</v>
      </c>
      <c r="K45">
        <v>0.5</v>
      </c>
      <c r="L45">
        <v>50</v>
      </c>
      <c r="M45">
        <v>25</v>
      </c>
      <c r="N45" t="s">
        <v>1881</v>
      </c>
      <c r="O45" t="s">
        <v>1882</v>
      </c>
      <c r="P45" t="s">
        <v>1883</v>
      </c>
    </row>
    <row r="46" spans="1:16" ht="50.6" customHeight="1">
      <c r="A46" s="33" t="s">
        <v>1788</v>
      </c>
      <c r="B46" s="33" t="s">
        <v>268</v>
      </c>
      <c r="C46" s="33" t="s">
        <v>163</v>
      </c>
      <c r="D46" s="33" t="s">
        <v>1803</v>
      </c>
      <c r="E46" s="33" t="s">
        <v>1804</v>
      </c>
      <c r="F46" s="33" t="s">
        <v>1805</v>
      </c>
      <c r="G46" s="33" t="s">
        <v>1806</v>
      </c>
      <c r="H46" s="33" t="s">
        <v>1795</v>
      </c>
      <c r="I46" s="88">
        <f>1/Annahmen!$C$77</f>
        <v>6.6666666666666671E-3</v>
      </c>
      <c r="J46" s="33">
        <v>15</v>
      </c>
      <c r="K46" s="89">
        <f t="shared" ref="K46:K54" si="0">I46*J46/60</f>
        <v>1.6666666666666668E-3</v>
      </c>
      <c r="L46" s="33">
        <v>30</v>
      </c>
      <c r="M46" s="33">
        <f t="shared" ref="M46:M54" si="1">K46*L46</f>
        <v>0.05</v>
      </c>
      <c r="N46" s="33" t="s">
        <v>418</v>
      </c>
      <c r="O46" s="33" t="s">
        <v>1884</v>
      </c>
      <c r="P46" s="33" t="s">
        <v>1885</v>
      </c>
    </row>
    <row r="47" spans="1:16" ht="50.6" customHeight="1">
      <c r="A47" s="33" t="s">
        <v>1886</v>
      </c>
      <c r="B47" s="33" t="s">
        <v>268</v>
      </c>
      <c r="C47" s="33" t="s">
        <v>163</v>
      </c>
      <c r="D47" s="33" t="s">
        <v>1803</v>
      </c>
      <c r="E47" s="33" t="s">
        <v>1810</v>
      </c>
      <c r="F47" s="33" t="s">
        <v>1811</v>
      </c>
      <c r="G47" s="33" t="s">
        <v>1812</v>
      </c>
      <c r="H47" s="33" t="s">
        <v>1795</v>
      </c>
      <c r="I47" s="88">
        <f>1/Annahmen!$C$77</f>
        <v>6.6666666666666671E-3</v>
      </c>
      <c r="J47" s="33">
        <v>60</v>
      </c>
      <c r="K47" s="89">
        <f t="shared" si="0"/>
        <v>6.6666666666666671E-3</v>
      </c>
      <c r="L47" s="33">
        <v>30</v>
      </c>
      <c r="M47" s="33">
        <f t="shared" si="1"/>
        <v>0.2</v>
      </c>
      <c r="N47" s="33" t="s">
        <v>1887</v>
      </c>
      <c r="O47" s="33" t="s">
        <v>1888</v>
      </c>
      <c r="P47" s="33" t="s">
        <v>1889</v>
      </c>
    </row>
    <row r="48" spans="1:16" ht="50.6" customHeight="1">
      <c r="A48" s="33" t="s">
        <v>1890</v>
      </c>
      <c r="B48" s="33" t="s">
        <v>268</v>
      </c>
      <c r="C48" s="33" t="s">
        <v>163</v>
      </c>
      <c r="D48" s="33" t="s">
        <v>1816</v>
      </c>
      <c r="E48" s="33" t="s">
        <v>1817</v>
      </c>
      <c r="F48" s="33" t="s">
        <v>1818</v>
      </c>
      <c r="G48" s="33" t="s">
        <v>1891</v>
      </c>
      <c r="H48" s="33" t="s">
        <v>1795</v>
      </c>
      <c r="I48" s="88">
        <f>1/Annahmen!$C$77</f>
        <v>6.6666666666666671E-3</v>
      </c>
      <c r="J48" s="33">
        <v>30</v>
      </c>
      <c r="K48" s="89">
        <f t="shared" si="0"/>
        <v>3.3333333333333335E-3</v>
      </c>
      <c r="L48" s="33">
        <v>30</v>
      </c>
      <c r="M48" s="33">
        <f t="shared" si="1"/>
        <v>0.1</v>
      </c>
      <c r="N48" s="33" t="s">
        <v>418</v>
      </c>
      <c r="O48" s="33" t="s">
        <v>1892</v>
      </c>
      <c r="P48" s="33" t="s">
        <v>1893</v>
      </c>
    </row>
    <row r="49" spans="1:16" ht="50.6" customHeight="1">
      <c r="A49" s="33" t="s">
        <v>1894</v>
      </c>
      <c r="B49" s="33" t="s">
        <v>268</v>
      </c>
      <c r="C49" s="33" t="s">
        <v>163</v>
      </c>
      <c r="D49" s="33" t="s">
        <v>1816</v>
      </c>
      <c r="E49" s="33" t="s">
        <v>1823</v>
      </c>
      <c r="F49" s="33" t="s">
        <v>1824</v>
      </c>
      <c r="G49" s="33" t="s">
        <v>1895</v>
      </c>
      <c r="H49" s="33" t="s">
        <v>1896</v>
      </c>
      <c r="I49" s="88">
        <f>Annahmen!$C$79/Annahmen!$C$77</f>
        <v>0.1</v>
      </c>
      <c r="J49" s="33">
        <v>15</v>
      </c>
      <c r="K49" s="89">
        <f t="shared" si="0"/>
        <v>2.5000000000000001E-2</v>
      </c>
      <c r="L49" s="33">
        <v>30</v>
      </c>
      <c r="M49" s="33">
        <f t="shared" si="1"/>
        <v>0.75</v>
      </c>
      <c r="N49" s="33" t="s">
        <v>418</v>
      </c>
      <c r="O49" s="33" t="s">
        <v>1897</v>
      </c>
      <c r="P49" s="33" t="s">
        <v>1893</v>
      </c>
    </row>
    <row r="50" spans="1:16" ht="50.6" customHeight="1">
      <c r="A50" s="33" t="s">
        <v>1898</v>
      </c>
      <c r="B50" s="33" t="s">
        <v>268</v>
      </c>
      <c r="C50" s="33" t="s">
        <v>163</v>
      </c>
      <c r="D50" s="33" t="s">
        <v>1816</v>
      </c>
      <c r="E50" s="33" t="s">
        <v>1830</v>
      </c>
      <c r="F50" s="33" t="s">
        <v>1831</v>
      </c>
      <c r="G50" s="33" t="s">
        <v>1899</v>
      </c>
      <c r="H50" s="33" t="s">
        <v>1896</v>
      </c>
      <c r="I50" s="88">
        <f>Annahmen!$C$79/Annahmen!$C$77</f>
        <v>0.1</v>
      </c>
      <c r="J50" s="33">
        <v>15</v>
      </c>
      <c r="K50" s="89">
        <f t="shared" si="0"/>
        <v>2.5000000000000001E-2</v>
      </c>
      <c r="L50" s="33">
        <v>30</v>
      </c>
      <c r="M50" s="33">
        <f t="shared" si="1"/>
        <v>0.75</v>
      </c>
      <c r="N50" s="33" t="s">
        <v>418</v>
      </c>
      <c r="O50" s="33" t="s">
        <v>1900</v>
      </c>
      <c r="P50" s="33" t="s">
        <v>1893</v>
      </c>
    </row>
    <row r="51" spans="1:16" ht="51.45" customHeight="1">
      <c r="A51" s="33" t="s">
        <v>1901</v>
      </c>
      <c r="B51" s="33" t="s">
        <v>268</v>
      </c>
      <c r="C51" s="33" t="s">
        <v>260</v>
      </c>
      <c r="D51" s="33" t="s">
        <v>1836</v>
      </c>
      <c r="E51" s="33" t="s">
        <v>1837</v>
      </c>
      <c r="F51" s="33" t="s">
        <v>1838</v>
      </c>
      <c r="G51" s="33" t="s">
        <v>1839</v>
      </c>
      <c r="H51" s="33" t="s">
        <v>1840</v>
      </c>
      <c r="I51" s="88">
        <f>1</f>
        <v>1</v>
      </c>
      <c r="J51" s="85">
        <f>Annahmen!$C$87</f>
        <v>10</v>
      </c>
      <c r="K51" s="89">
        <f t="shared" si="0"/>
        <v>0.16666666666666666</v>
      </c>
      <c r="L51" s="33">
        <v>30</v>
      </c>
      <c r="M51" s="33">
        <f t="shared" si="1"/>
        <v>5</v>
      </c>
      <c r="N51" s="33" t="s">
        <v>418</v>
      </c>
      <c r="O51" s="33" t="s">
        <v>1902</v>
      </c>
      <c r="P51" s="33" t="s">
        <v>1842</v>
      </c>
    </row>
    <row r="52" spans="1:16" ht="51.45" customHeight="1">
      <c r="A52" s="33" t="s">
        <v>1903</v>
      </c>
      <c r="B52" s="33" t="s">
        <v>268</v>
      </c>
      <c r="C52" s="33" t="s">
        <v>260</v>
      </c>
      <c r="D52" s="33" t="s">
        <v>1836</v>
      </c>
      <c r="E52" s="33" t="s">
        <v>1844</v>
      </c>
      <c r="F52" s="33" t="s">
        <v>1845</v>
      </c>
      <c r="G52" s="33" t="s">
        <v>1846</v>
      </c>
      <c r="H52" s="33" t="s">
        <v>1840</v>
      </c>
      <c r="I52" s="88">
        <f>1</f>
        <v>1</v>
      </c>
      <c r="J52" s="85">
        <f>Annahmen!$C$88</f>
        <v>15</v>
      </c>
      <c r="K52" s="89">
        <f t="shared" si="0"/>
        <v>0.25</v>
      </c>
      <c r="L52" s="33">
        <v>30</v>
      </c>
      <c r="M52" s="33">
        <f t="shared" si="1"/>
        <v>7.5</v>
      </c>
      <c r="N52" s="33" t="s">
        <v>418</v>
      </c>
      <c r="O52" s="33" t="s">
        <v>1904</v>
      </c>
      <c r="P52" s="33" t="s">
        <v>1848</v>
      </c>
    </row>
    <row r="53" spans="1:16" ht="51.45" customHeight="1">
      <c r="A53" s="33" t="s">
        <v>1905</v>
      </c>
      <c r="B53" s="33" t="s">
        <v>268</v>
      </c>
      <c r="C53" s="33" t="s">
        <v>260</v>
      </c>
      <c r="D53" s="33" t="s">
        <v>1836</v>
      </c>
      <c r="E53" s="33" t="s">
        <v>1850</v>
      </c>
      <c r="F53" s="33" t="s">
        <v>1851</v>
      </c>
      <c r="G53" s="33" t="s">
        <v>1852</v>
      </c>
      <c r="H53" s="33" t="s">
        <v>1840</v>
      </c>
      <c r="I53" s="88">
        <f>1</f>
        <v>1</v>
      </c>
      <c r="J53" s="85">
        <f>Annahmen!$C$89</f>
        <v>15</v>
      </c>
      <c r="K53" s="89">
        <f t="shared" si="0"/>
        <v>0.25</v>
      </c>
      <c r="L53" s="33">
        <v>30</v>
      </c>
      <c r="M53" s="33">
        <f t="shared" si="1"/>
        <v>7.5</v>
      </c>
      <c r="N53" s="33" t="s">
        <v>418</v>
      </c>
      <c r="O53" s="33" t="s">
        <v>1906</v>
      </c>
      <c r="P53" s="33" t="s">
        <v>1854</v>
      </c>
    </row>
    <row r="54" spans="1:16" ht="51.45" customHeight="1">
      <c r="A54" s="33" t="s">
        <v>1907</v>
      </c>
      <c r="B54" s="33" t="s">
        <v>268</v>
      </c>
      <c r="C54" s="33" t="s">
        <v>260</v>
      </c>
      <c r="D54" s="33" t="s">
        <v>1836</v>
      </c>
      <c r="E54" s="33" t="s">
        <v>1856</v>
      </c>
      <c r="F54" s="33" t="s">
        <v>1857</v>
      </c>
      <c r="G54" s="33" t="s">
        <v>1858</v>
      </c>
      <c r="H54" s="33" t="s">
        <v>1840</v>
      </c>
      <c r="I54" s="88">
        <f>1</f>
        <v>1</v>
      </c>
      <c r="J54" s="85">
        <f>Annahmen!$C$90</f>
        <v>15</v>
      </c>
      <c r="K54" s="89">
        <f t="shared" si="0"/>
        <v>0.25</v>
      </c>
      <c r="L54" s="33">
        <v>30</v>
      </c>
      <c r="M54" s="33">
        <f t="shared" si="1"/>
        <v>7.5</v>
      </c>
      <c r="N54" s="33" t="s">
        <v>418</v>
      </c>
      <c r="O54" s="33" t="s">
        <v>1908</v>
      </c>
      <c r="P54" s="33" t="s">
        <v>1860</v>
      </c>
    </row>
    <row r="55" spans="1:16" ht="53.6" customHeight="1">
      <c r="A55" s="33" t="s">
        <v>1909</v>
      </c>
      <c r="B55" s="33" t="s">
        <v>268</v>
      </c>
      <c r="C55" s="33" t="s">
        <v>260</v>
      </c>
      <c r="D55" s="33" t="s">
        <v>1867</v>
      </c>
      <c r="E55" s="33" t="s">
        <v>1868</v>
      </c>
      <c r="F55" s="33" t="s">
        <v>1869</v>
      </c>
      <c r="G55" s="33" t="s">
        <v>1870</v>
      </c>
      <c r="H55" s="33" t="s">
        <v>1871</v>
      </c>
      <c r="I55" s="33"/>
      <c r="J55" s="33"/>
      <c r="K55" s="33"/>
      <c r="L55" s="33">
        <v>30</v>
      </c>
      <c r="M55" s="33"/>
      <c r="N55" s="33" t="s">
        <v>418</v>
      </c>
      <c r="O55" s="33" t="s">
        <v>1910</v>
      </c>
      <c r="P55" s="33" t="s">
        <v>1911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7"/>
  <sheetViews>
    <sheetView showGridLines="0" workbookViewId="0">
      <selection sqref="A1:F1"/>
    </sheetView>
  </sheetViews>
  <sheetFormatPr baseColWidth="10" defaultColWidth="9.140625" defaultRowHeight="14.15"/>
  <cols>
    <col min="1" max="1" width="48" customWidth="1"/>
    <col min="2" max="3" width="22" customWidth="1"/>
    <col min="4" max="4" width="24" customWidth="1"/>
    <col min="5" max="5" width="40" customWidth="1"/>
    <col min="6" max="6" width="22" customWidth="1"/>
    <col min="8" max="8" width="44" customWidth="1"/>
    <col min="9" max="11" width="16" customWidth="1"/>
  </cols>
  <sheetData>
    <row r="1" spans="1:11" ht="30" customHeight="1">
      <c r="A1" s="108" t="s">
        <v>433</v>
      </c>
      <c r="B1" s="108"/>
      <c r="C1" s="108"/>
      <c r="D1" s="108"/>
      <c r="E1" s="108"/>
      <c r="F1" s="108"/>
    </row>
    <row r="2" spans="1:11" ht="36" customHeight="1">
      <c r="A2" s="109" t="s">
        <v>434</v>
      </c>
      <c r="B2" s="109"/>
      <c r="C2" s="109"/>
      <c r="D2" s="109"/>
      <c r="E2" s="109"/>
      <c r="F2" s="109"/>
    </row>
    <row r="4" spans="1:11" ht="28.3">
      <c r="A4" s="6" t="s">
        <v>435</v>
      </c>
      <c r="B4" s="6" t="s">
        <v>436</v>
      </c>
      <c r="C4" s="6" t="s">
        <v>437</v>
      </c>
      <c r="D4" s="6" t="s">
        <v>438</v>
      </c>
      <c r="E4" s="8"/>
      <c r="F4" s="9"/>
    </row>
    <row r="5" spans="1:11">
      <c r="A5" s="10" t="s">
        <v>439</v>
      </c>
      <c r="B5" s="11">
        <f>SUM(Anford_QZBW_zert_spez!$M$2:$M$55)</f>
        <v>1099.6999999999998</v>
      </c>
      <c r="C5" s="11">
        <f>SUM(Anford_BioZBW_zert_spez!$M$2:$M$55)</f>
        <v>1049.9000000000001</v>
      </c>
      <c r="D5" s="11">
        <f>B5-C5</f>
        <v>49.799999999999727</v>
      </c>
      <c r="E5" s="12"/>
      <c r="F5" s="13"/>
    </row>
    <row r="6" spans="1:11">
      <c r="A6" s="10" t="s">
        <v>440</v>
      </c>
      <c r="B6" s="14">
        <f>SUM(Anford_QZBW_zert_spez!$K$2:$K$55)</f>
        <v>34.24</v>
      </c>
      <c r="C6" s="14">
        <f>SUM(Anford_BioZBW_zert_spez!$K$2:$K$55)</f>
        <v>33.246666666666655</v>
      </c>
      <c r="D6" s="14">
        <f>B6-C6</f>
        <v>0.9933333333333465</v>
      </c>
      <c r="E6" s="12"/>
      <c r="F6" s="13"/>
    </row>
    <row r="7" spans="1:11">
      <c r="A7" s="10" t="s">
        <v>441</v>
      </c>
      <c r="B7" s="15">
        <f>COUNT(Anford_QZBW_zert_spez!$M$2:$M$55)</f>
        <v>53</v>
      </c>
      <c r="C7" s="15">
        <f>COUNT(Anford_BioZBW_zert_spez!$M$2:$M$55)</f>
        <v>53</v>
      </c>
      <c r="D7" s="15">
        <f>B7-C7</f>
        <v>0</v>
      </c>
      <c r="E7" s="12"/>
      <c r="F7" s="13"/>
    </row>
    <row r="8" spans="1:11">
      <c r="A8" s="10"/>
      <c r="B8" s="12"/>
      <c r="C8" s="12"/>
      <c r="D8" s="12"/>
      <c r="E8" s="12"/>
      <c r="F8" s="13"/>
    </row>
    <row r="9" spans="1:11" ht="28.3">
      <c r="A9" s="7" t="s">
        <v>442</v>
      </c>
      <c r="B9" s="7" t="s">
        <v>443</v>
      </c>
      <c r="C9" s="7" t="s">
        <v>444</v>
      </c>
      <c r="D9" s="7" t="s">
        <v>445</v>
      </c>
      <c r="E9" s="7" t="s">
        <v>446</v>
      </c>
      <c r="F9" s="13"/>
    </row>
    <row r="10" spans="1:11">
      <c r="A10" s="10" t="s">
        <v>447</v>
      </c>
      <c r="B10" s="11">
        <f>B5</f>
        <v>1099.6999999999998</v>
      </c>
      <c r="C10" s="11">
        <v>1693.75</v>
      </c>
      <c r="D10" s="11">
        <f>B10-C10</f>
        <v>-594.05000000000018</v>
      </c>
      <c r="E10" s="16" t="s">
        <v>448</v>
      </c>
      <c r="F10" s="13"/>
    </row>
    <row r="11" spans="1:11">
      <c r="A11" s="10" t="s">
        <v>449</v>
      </c>
      <c r="B11" s="11">
        <f>C5</f>
        <v>1049.9000000000001</v>
      </c>
      <c r="C11" s="11">
        <v>1358.75</v>
      </c>
      <c r="D11" s="11">
        <f>B11-C11</f>
        <v>-308.84999999999991</v>
      </c>
      <c r="E11" s="16" t="s">
        <v>448</v>
      </c>
      <c r="F11" s="13"/>
    </row>
    <row r="12" spans="1:11">
      <c r="A12" s="10" t="s">
        <v>450</v>
      </c>
      <c r="B12" s="11">
        <f>B10-B11</f>
        <v>49.799999999999727</v>
      </c>
      <c r="C12" s="11">
        <v>335</v>
      </c>
      <c r="D12" s="11">
        <f>B12-C12</f>
        <v>-285.20000000000027</v>
      </c>
      <c r="E12" s="16" t="s">
        <v>448</v>
      </c>
      <c r="F12" s="13"/>
    </row>
    <row r="13" spans="1:11">
      <c r="A13" s="10"/>
      <c r="B13" s="12"/>
      <c r="C13" s="12"/>
      <c r="D13" s="12"/>
      <c r="E13" s="12"/>
      <c r="F13" s="13"/>
    </row>
    <row r="14" spans="1:11">
      <c r="A14" s="10"/>
      <c r="B14" s="12"/>
      <c r="C14" s="12"/>
      <c r="D14" s="12"/>
      <c r="E14" s="12"/>
      <c r="F14" s="13"/>
    </row>
    <row r="15" spans="1:11">
      <c r="A15" s="7" t="s">
        <v>451</v>
      </c>
      <c r="B15" s="7" t="s">
        <v>452</v>
      </c>
      <c r="C15" s="7" t="s">
        <v>453</v>
      </c>
      <c r="D15" s="7" t="s">
        <v>454</v>
      </c>
      <c r="E15" s="7" t="s">
        <v>455</v>
      </c>
      <c r="F15" s="7" t="s">
        <v>456</v>
      </c>
      <c r="H15" s="42" t="s">
        <v>457</v>
      </c>
      <c r="I15" s="42"/>
      <c r="J15" s="42"/>
      <c r="K15" s="42"/>
    </row>
    <row r="16" spans="1:11" ht="26.05" customHeight="1">
      <c r="A16" s="10" t="s">
        <v>18</v>
      </c>
      <c r="B16" s="11">
        <f>SUMIFS(Anford_QZBW_zert_spez!$M$2:$M$55,Anford_QZBW_zert_spez!$C$2:$C$55,$A16)</f>
        <v>137.5</v>
      </c>
      <c r="C16" s="11">
        <f>SUMIFS(Anford_BioZBW_zert_spez!$M$2:$M$55,Anford_BioZBW_zert_spez!$C$2:$C$55,$A16)</f>
        <v>87.5</v>
      </c>
      <c r="D16" s="11">
        <f t="shared" ref="D16:D22" si="0">B16-C16</f>
        <v>50</v>
      </c>
      <c r="E16" s="14">
        <f>SUMIFS(Anford_QZBW_zert_spez!$K$2:$K$55,Anford_QZBW_zert_spez!$C$2:$C$55,$A16)</f>
        <v>2.75</v>
      </c>
      <c r="F16" s="17">
        <f>SUMIFS(Anford_BioZBW_zert_spez!$K$2:$K$55,Anford_BioZBW_zert_spez!$C$2:$C$55,$A16)</f>
        <v>1.75</v>
      </c>
      <c r="H16" s="43" t="s">
        <v>458</v>
      </c>
      <c r="I16" s="43" t="s">
        <v>436</v>
      </c>
      <c r="J16" s="43" t="s">
        <v>437</v>
      </c>
      <c r="K16" s="43" t="s">
        <v>454</v>
      </c>
    </row>
    <row r="17" spans="1:11" ht="26.05" customHeight="1">
      <c r="A17" s="10" t="s">
        <v>47</v>
      </c>
      <c r="B17" s="11">
        <f>SUMIFS(Anford_QZBW_zert_spez!$M$2:$M$55,Anford_QZBW_zert_spez!$C$2:$C$55,$A17)</f>
        <v>898.75</v>
      </c>
      <c r="C17" s="11">
        <f>SUMIFS(Anford_BioZBW_zert_spez!$M$2:$M$55,Anford_BioZBW_zert_spez!$C$2:$C$55,$A17)</f>
        <v>898.75</v>
      </c>
      <c r="D17" s="11">
        <f t="shared" si="0"/>
        <v>0</v>
      </c>
      <c r="E17" s="14">
        <f>SUMIFS(Anford_QZBW_zert_spez!$K$2:$K$55,Anford_QZBW_zert_spez!$C$2:$C$55,$A17)</f>
        <v>29.375</v>
      </c>
      <c r="F17" s="17">
        <f>SUMIFS(Anford_BioZBW_zert_spez!$K$2:$K$55,Anford_BioZBW_zert_spez!$C$2:$C$55,$A17)</f>
        <v>29.375</v>
      </c>
      <c r="H17" s="44" t="s">
        <v>48</v>
      </c>
      <c r="I17" s="46">
        <f>SUMIFS(Anford_QZBW_zert_spez!$M$2:$M$49,Anford_QZBW_zert_spez!$D$2:$D$49,$H17)</f>
        <v>772.5</v>
      </c>
      <c r="J17" s="46">
        <f>SUMIFS(Anford_BioZBW_zert_spez!$M$2:$M$50,Anford_BioZBW_zert_spez!$D$2:$D$50,$H17)</f>
        <v>757.5</v>
      </c>
      <c r="K17" s="46">
        <f>I17-J17</f>
        <v>15</v>
      </c>
    </row>
    <row r="18" spans="1:11" ht="26.05" customHeight="1">
      <c r="A18" s="10" t="s">
        <v>459</v>
      </c>
      <c r="B18" s="11">
        <f>SUMIFS(Anford_QZBW_zert_spez!$M$2:$M$55,Anford_QZBW_zert_spez!$C$2:$C$55,$A18)</f>
        <v>0</v>
      </c>
      <c r="C18" s="11">
        <f>SUMIFS(Anford_BioZBW_zert_spez!$M$2:$M$55,Anford_BioZBW_zert_spez!$C$2:$C$55,$A18)</f>
        <v>0</v>
      </c>
      <c r="D18" s="11">
        <f t="shared" si="0"/>
        <v>0</v>
      </c>
      <c r="E18" s="14">
        <f>SUMIFS(Anford_QZBW_zert_spez!$K$2:$K$55,Anford_QZBW_zert_spez!$C$2:$C$55,$A18)</f>
        <v>0</v>
      </c>
      <c r="F18" s="17">
        <f>SUMIFS(Anford_BioZBW_zert_spez!$K$2:$K$55,Anford_BioZBW_zert_spez!$C$2:$C$55,$A18)</f>
        <v>0</v>
      </c>
      <c r="H18" s="44" t="s">
        <v>55</v>
      </c>
      <c r="I18" s="46">
        <f>SUMIFS(Anford_QZBW_zert_spez!$M$2:$M$49,Anford_QZBW_zert_spez!$D$2:$D$49,$H18)</f>
        <v>126.25</v>
      </c>
      <c r="J18" s="46">
        <f>SUMIFS(Anford_BioZBW_zert_spez!$M$2:$M$50,Anford_BioZBW_zert_spez!$D$2:$D$50,$H18)</f>
        <v>141.25</v>
      </c>
      <c r="K18" s="46">
        <f>I18-J18</f>
        <v>-15</v>
      </c>
    </row>
    <row r="19" spans="1:11" ht="26.05" customHeight="1">
      <c r="A19" s="10" t="s">
        <v>163</v>
      </c>
      <c r="B19" s="11">
        <f>SUMIFS(Anford_QZBW_zert_spez!$M$2:$M$55,Anford_QZBW_zert_spez!$C$2:$C$55,$A19)</f>
        <v>3.45</v>
      </c>
      <c r="C19" s="11">
        <f>SUMIFS(Anford_BioZBW_zert_spez!$M$2:$M$55,Anford_BioZBW_zert_spez!$C$2:$C$55,$A19)</f>
        <v>3.6500000000000004</v>
      </c>
      <c r="D19" s="11">
        <f t="shared" si="0"/>
        <v>-0.20000000000000018</v>
      </c>
      <c r="E19" s="14">
        <f>SUMIFS(Anford_QZBW_zert_spez!$K$2:$K$55,Anford_QZBW_zert_spez!$C$2:$C$55,$A19)</f>
        <v>0.11499999999999999</v>
      </c>
      <c r="F19" s="17">
        <f>SUMIFS(Anford_BioZBW_zert_spez!$K$2:$K$55,Anford_BioZBW_zert_spez!$C$2:$C$55,$A19)</f>
        <v>0.12166666666666665</v>
      </c>
      <c r="H19" s="45" t="s">
        <v>460</v>
      </c>
      <c r="I19" s="47">
        <f>SUM(I17:I18)</f>
        <v>898.75</v>
      </c>
      <c r="J19" s="47">
        <f>SUM(J17:J18)</f>
        <v>898.75</v>
      </c>
      <c r="K19" s="47">
        <f>I19-J19</f>
        <v>0</v>
      </c>
    </row>
    <row r="20" spans="1:11" ht="26.05" customHeight="1">
      <c r="A20" s="10" t="s">
        <v>260</v>
      </c>
      <c r="B20" s="11">
        <f>SUMIFS(Anford_QZBW_zert_spez!$M$2:$M$55,Anford_QZBW_zert_spez!$C$2:$C$55,$A20)</f>
        <v>60</v>
      </c>
      <c r="C20" s="11">
        <f>SUMIFS(Anford_BioZBW_zert_spez!$M$2:$M$55,Anford_BioZBW_zert_spez!$C$2:$C$55,$A20)</f>
        <v>60</v>
      </c>
      <c r="D20" s="11">
        <f t="shared" si="0"/>
        <v>0</v>
      </c>
      <c r="E20" s="14">
        <f>SUMIFS(Anford_QZBW_zert_spez!$K$2:$K$55,Anford_QZBW_zert_spez!$C$2:$C$55,$A20)</f>
        <v>2</v>
      </c>
      <c r="F20" s="17">
        <f>SUMIFS(Anford_BioZBW_zert_spez!$K$2:$K$55,Anford_BioZBW_zert_spez!$C$2:$C$55,$A20)</f>
        <v>2</v>
      </c>
    </row>
    <row r="21" spans="1:11" ht="25.5" customHeight="1">
      <c r="A21" s="90" t="s">
        <v>1836</v>
      </c>
      <c r="B21" s="91">
        <f>SUMIFS(Anford_QZBW_zert_spez!$M$2:$M$55,Anford_QZBW_zert_spez!$C$2:$C$55,$A$20,Anford_QZBW_zert_spez!$D$2:$D$55,$A21)</f>
        <v>30</v>
      </c>
      <c r="C21" s="91">
        <f>SUMIFS(Anford_BioZBW_zert_spez!$M$2:$M$55,Anford_BioZBW_zert_spez!$C$2:$C$55,$A$20,Anford_BioZBW_zert_spez!$D$2:$D$55,$A21)</f>
        <v>30</v>
      </c>
      <c r="D21" s="91">
        <f t="shared" si="0"/>
        <v>0</v>
      </c>
      <c r="E21" s="92">
        <f>SUMIFS(Anford_QZBW_zert_spez!$K$2:$K$55,Anford_QZBW_zert_spez!$C$2:$C$55,$A$20,Anford_QZBW_zert_spez!$D$2:$D$55,$A21)</f>
        <v>1</v>
      </c>
      <c r="F21" s="93">
        <f>SUMIFS(Anford_BioZBW_zert_spez!$K$2:$K$55,Anford_BioZBW_zert_spez!$C$2:$C$55,$A$20,Anford_BioZBW_zert_spez!$D$2:$D$55,$A21)</f>
        <v>1</v>
      </c>
    </row>
    <row r="22" spans="1:11" ht="25.5" customHeight="1">
      <c r="A22" s="90" t="s">
        <v>261</v>
      </c>
      <c r="B22" s="91">
        <f>SUMIFS(Anford_QZBW_zert_spez!$M$2:$M$55,Anford_QZBW_zert_spez!$C$2:$C$55,$A$20,Anford_QZBW_zert_spez!$D$2:$D$55,$A22)</f>
        <v>30</v>
      </c>
      <c r="C22" s="91">
        <f>SUMIFS(Anford_BioZBW_zert_spez!$M$2:$M$55,Anford_BioZBW_zert_spez!$C$2:$C$55,$A$20,Anford_BioZBW_zert_spez!$D$2:$D$55,$A22)</f>
        <v>30</v>
      </c>
      <c r="D22" s="91">
        <f t="shared" si="0"/>
        <v>0</v>
      </c>
      <c r="E22" s="92">
        <f>SUMIFS(Anford_QZBW_zert_spez!$K$2:$K$55,Anford_QZBW_zert_spez!$C$2:$C$55,$A$20,Anford_QZBW_zert_spez!$D$2:$D$55,$A22)</f>
        <v>1</v>
      </c>
      <c r="F22" s="93">
        <f>SUMIFS(Anford_BioZBW_zert_spez!$K$2:$K$55,Anford_BioZBW_zert_spez!$C$2:$C$55,$A$20,Anford_BioZBW_zert_spez!$D$2:$D$55,$A22)</f>
        <v>1</v>
      </c>
    </row>
    <row r="23" spans="1:11" ht="21" customHeight="1">
      <c r="A23" s="7" t="s">
        <v>4</v>
      </c>
      <c r="B23" s="7" t="s">
        <v>452</v>
      </c>
      <c r="C23" s="7" t="s">
        <v>453</v>
      </c>
      <c r="D23" s="7" t="s">
        <v>454</v>
      </c>
      <c r="E23" s="12"/>
      <c r="F23" s="13"/>
      <c r="H23" s="119" t="s">
        <v>1912</v>
      </c>
      <c r="I23" s="120"/>
      <c r="J23" s="120"/>
      <c r="K23" s="121"/>
    </row>
    <row r="24" spans="1:11" ht="24" customHeight="1">
      <c r="A24" s="10" t="s">
        <v>172</v>
      </c>
      <c r="B24" s="106">
        <f>SUMIFS(Anford_QZBW_zert_spez!$M$2:$M$55,Anford_QZBW_zert_spez!$E$2:$E$55,$A24)</f>
        <v>47.5</v>
      </c>
      <c r="C24" s="106">
        <f>SUMIFS(Anford_BioZBW_zert_spez!$M$2:$M$55,Anford_BioZBW_zert_spez!$E$2:$E$55,$A24)</f>
        <v>47.5</v>
      </c>
      <c r="D24" s="106">
        <f t="shared" ref="D24:D34" si="1">B24-C24</f>
        <v>0</v>
      </c>
      <c r="E24" s="12"/>
      <c r="F24" s="13"/>
      <c r="H24" s="97" t="s">
        <v>4</v>
      </c>
      <c r="I24" s="94" t="s">
        <v>436</v>
      </c>
      <c r="J24" s="94" t="s">
        <v>437</v>
      </c>
      <c r="K24" s="98" t="s">
        <v>454</v>
      </c>
    </row>
    <row r="25" spans="1:11" ht="24" customHeight="1">
      <c r="A25" s="10" t="s">
        <v>72</v>
      </c>
      <c r="B25" s="106">
        <f>SUMIFS(Anford_QZBW_zert_spez!$M$2:$M$55,Anford_QZBW_zert_spez!$E$2:$E$55,$A25)</f>
        <v>30</v>
      </c>
      <c r="C25" s="106">
        <f>SUMIFS(Anford_BioZBW_zert_spez!$M$2:$M$55,Anford_BioZBW_zert_spez!$E$2:$E$55,$A25)</f>
        <v>30</v>
      </c>
      <c r="D25" s="106">
        <f t="shared" si="1"/>
        <v>0</v>
      </c>
      <c r="E25" s="12"/>
      <c r="F25" s="13"/>
      <c r="H25" s="99" t="s">
        <v>1804</v>
      </c>
      <c r="I25" s="95">
        <f>SUMIFS(Anford_QZBW_zert_spez!$M$2:$M$55,Anford_QZBW_zert_spez!$E$2:$E$55,$H25)</f>
        <v>0.05</v>
      </c>
      <c r="J25" s="95">
        <f>SUMIFS(Anford_BioZBW_zert_spez!$M$2:$M$55,Anford_BioZBW_zert_spez!$E$2:$E$55,$H25)</f>
        <v>0.05</v>
      </c>
      <c r="K25" s="100">
        <f t="shared" ref="K25:K36" si="2">I25-J25</f>
        <v>0</v>
      </c>
    </row>
    <row r="26" spans="1:11" ht="24" customHeight="1">
      <c r="A26" s="10" t="s">
        <v>28</v>
      </c>
      <c r="B26" s="106">
        <f>SUMIFS(Anford_QZBW_zert_spez!$M$2:$M$55,Anford_QZBW_zert_spez!$E$2:$E$55,$A26)</f>
        <v>214.65</v>
      </c>
      <c r="C26" s="106">
        <f>SUMIFS(Anford_BioZBW_zert_spez!$M$2:$M$55,Anford_BioZBW_zert_spez!$E$2:$E$55,$A26)</f>
        <v>164.65</v>
      </c>
      <c r="D26" s="106">
        <f t="shared" si="1"/>
        <v>50</v>
      </c>
      <c r="E26" s="12"/>
      <c r="F26" s="13"/>
      <c r="H26" s="99" t="s">
        <v>1810</v>
      </c>
      <c r="I26" s="95">
        <f>SUMIFS(Anford_QZBW_zert_spez!$M$2:$M$55,Anford_QZBW_zert_spez!$E$2:$E$55,$H26)</f>
        <v>0.2</v>
      </c>
      <c r="J26" s="95">
        <f>SUMIFS(Anford_BioZBW_zert_spez!$M$2:$M$55,Anford_BioZBW_zert_spez!$E$2:$E$55,$H26)</f>
        <v>0.2</v>
      </c>
      <c r="K26" s="100">
        <f t="shared" si="2"/>
        <v>0</v>
      </c>
    </row>
    <row r="27" spans="1:11" ht="24" customHeight="1">
      <c r="A27" s="10" t="s">
        <v>216</v>
      </c>
      <c r="B27" s="106">
        <f>SUMIFS(Anford_QZBW_zert_spez!$M$2:$M$55,Anford_QZBW_zert_spez!$E$2:$E$55,$A27)</f>
        <v>50</v>
      </c>
      <c r="C27" s="106">
        <f>SUMIFS(Anford_BioZBW_zert_spez!$M$2:$M$55,Anford_BioZBW_zert_spez!$E$2:$E$55,$A27)</f>
        <v>65</v>
      </c>
      <c r="D27" s="106">
        <f t="shared" si="1"/>
        <v>-15</v>
      </c>
      <c r="E27" s="12"/>
      <c r="F27" s="13"/>
      <c r="H27" s="99" t="s">
        <v>1817</v>
      </c>
      <c r="I27" s="95">
        <f>SUMIFS(Anford_QZBW_zert_spez!$M$2:$M$55,Anford_QZBW_zert_spez!$E$2:$E$55,$H27)</f>
        <v>0.1</v>
      </c>
      <c r="J27" s="95">
        <f>SUMIFS(Anford_BioZBW_zert_spez!$M$2:$M$55,Anford_BioZBW_zert_spez!$E$2:$E$55,$H27)</f>
        <v>0.1</v>
      </c>
      <c r="K27" s="100">
        <f t="shared" si="2"/>
        <v>0</v>
      </c>
    </row>
    <row r="28" spans="1:11" ht="24" customHeight="1">
      <c r="A28" s="10" t="s">
        <v>141</v>
      </c>
      <c r="B28" s="106">
        <f>SUMIFS(Anford_QZBW_zert_spez!$M$2:$M$55,Anford_QZBW_zert_spez!$E$2:$E$55,$A28)</f>
        <v>75</v>
      </c>
      <c r="C28" s="106">
        <f>SUMIFS(Anford_BioZBW_zert_spez!$M$2:$M$55,Anford_BioZBW_zert_spez!$E$2:$E$55,$A28)</f>
        <v>90</v>
      </c>
      <c r="D28" s="106">
        <f t="shared" si="1"/>
        <v>-15</v>
      </c>
      <c r="E28" s="12"/>
      <c r="F28" s="13"/>
      <c r="H28" s="99" t="s">
        <v>1823</v>
      </c>
      <c r="I28" s="95">
        <f>SUMIFS(Anford_QZBW_zert_spez!$M$2:$M$55,Anford_QZBW_zert_spez!$E$2:$E$55,$H28)</f>
        <v>0.65</v>
      </c>
      <c r="J28" s="95">
        <f>SUMIFS(Anford_BioZBW_zert_spez!$M$2:$M$55,Anford_BioZBW_zert_spez!$E$2:$E$55,$H28)</f>
        <v>0.75</v>
      </c>
      <c r="K28" s="100">
        <f t="shared" si="2"/>
        <v>-9.9999999999999978E-2</v>
      </c>
    </row>
    <row r="29" spans="1:11" ht="36" customHeight="1">
      <c r="A29" s="10" t="s">
        <v>130</v>
      </c>
      <c r="B29" s="106">
        <f>SUMIFS(Anford_QZBW_zert_spez!$M$2:$M$55,Anford_QZBW_zert_spez!$E$2:$E$55,$A29)</f>
        <v>42.5</v>
      </c>
      <c r="C29" s="106">
        <f>SUMIFS(Anford_BioZBW_zert_spez!$M$2:$M$55,Anford_BioZBW_zert_spez!$E$2:$E$55,$A29)</f>
        <v>42.5</v>
      </c>
      <c r="D29" s="106">
        <f t="shared" si="1"/>
        <v>0</v>
      </c>
      <c r="E29" s="12"/>
      <c r="F29" s="13"/>
      <c r="H29" s="99" t="s">
        <v>1830</v>
      </c>
      <c r="I29" s="95">
        <f>SUMIFS(Anford_QZBW_zert_spez!$M$2:$M$55,Anford_QZBW_zert_spez!$E$2:$E$55,$H29)</f>
        <v>0.65</v>
      </c>
      <c r="J29" s="95">
        <f>SUMIFS(Anford_BioZBW_zert_spez!$M$2:$M$55,Anford_BioZBW_zert_spez!$E$2:$E$55,$H29)</f>
        <v>0.75</v>
      </c>
      <c r="K29" s="100">
        <f t="shared" si="2"/>
        <v>-9.9999999999999978E-2</v>
      </c>
    </row>
    <row r="30" spans="1:11" ht="36" customHeight="1">
      <c r="A30" s="10" t="s">
        <v>79</v>
      </c>
      <c r="B30" s="106">
        <f>SUMIFS(Anford_QZBW_zert_spez!$M$2:$M$55,Anford_QZBW_zert_spez!$E$2:$E$55,$A30)</f>
        <v>157.5</v>
      </c>
      <c r="C30" s="106">
        <f>SUMIFS(Anford_BioZBW_zert_spez!$M$2:$M$55,Anford_BioZBW_zert_spez!$E$2:$E$55,$A30)</f>
        <v>150</v>
      </c>
      <c r="D30" s="106">
        <f t="shared" si="1"/>
        <v>7.5</v>
      </c>
      <c r="E30" s="12"/>
      <c r="F30" s="13"/>
      <c r="H30" s="99" t="s">
        <v>1837</v>
      </c>
      <c r="I30" s="95">
        <f>SUMIFS(Anford_QZBW_zert_spez!$M$2:$M$55,Anford_QZBW_zert_spez!$E$2:$E$55,$H30)</f>
        <v>5</v>
      </c>
      <c r="J30" s="95">
        <f>SUMIFS(Anford_BioZBW_zert_spez!$M$2:$M$55,Anford_BioZBW_zert_spez!$E$2:$E$55,$H30)</f>
        <v>5</v>
      </c>
      <c r="K30" s="100">
        <f t="shared" si="2"/>
        <v>0</v>
      </c>
    </row>
    <row r="31" spans="1:11" ht="24" customHeight="1">
      <c r="A31" s="10" t="s">
        <v>156</v>
      </c>
      <c r="B31" s="106">
        <f>SUMIFS(Anford_QZBW_zert_spez!$M$2:$M$55,Anford_QZBW_zert_spez!$E$2:$E$55,$A31)</f>
        <v>150</v>
      </c>
      <c r="C31" s="106">
        <f>SUMIFS(Anford_BioZBW_zert_spez!$M$2:$M$55,Anford_BioZBW_zert_spez!$E$2:$E$55,$A31)</f>
        <v>150</v>
      </c>
      <c r="D31" s="106">
        <f t="shared" si="1"/>
        <v>0</v>
      </c>
      <c r="E31" s="12"/>
      <c r="F31" s="13"/>
      <c r="H31" s="99" t="s">
        <v>1844</v>
      </c>
      <c r="I31" s="95">
        <f>SUMIFS(Anford_QZBW_zert_spez!$M$2:$M$55,Anford_QZBW_zert_spez!$E$2:$E$55,$H31)</f>
        <v>7.5</v>
      </c>
      <c r="J31" s="95">
        <f>SUMIFS(Anford_BioZBW_zert_spez!$M$2:$M$55,Anford_BioZBW_zert_spez!$E$2:$E$55,$H31)</f>
        <v>7.5</v>
      </c>
      <c r="K31" s="100">
        <f t="shared" si="2"/>
        <v>0</v>
      </c>
    </row>
    <row r="32" spans="1:11" ht="36" customHeight="1">
      <c r="A32" s="10" t="s">
        <v>99</v>
      </c>
      <c r="B32" s="106">
        <f>SUMIFS(Anford_QZBW_zert_spez!$M$2:$M$55,Anford_QZBW_zert_spez!$E$2:$E$55,$A32)</f>
        <v>135</v>
      </c>
      <c r="C32" s="106">
        <f>SUMIFS(Anford_BioZBW_zert_spez!$M$2:$M$55,Anford_BioZBW_zert_spez!$E$2:$E$55,$A32)</f>
        <v>105</v>
      </c>
      <c r="D32" s="106">
        <f t="shared" si="1"/>
        <v>30</v>
      </c>
      <c r="E32" s="12"/>
      <c r="F32" s="13"/>
      <c r="H32" s="99" t="s">
        <v>1850</v>
      </c>
      <c r="I32" s="95">
        <f>SUMIFS(Anford_QZBW_zert_spez!$M$2:$M$55,Anford_QZBW_zert_spez!$E$2:$E$55,$H32)</f>
        <v>7.5</v>
      </c>
      <c r="J32" s="95">
        <f>SUMIFS(Anford_BioZBW_zert_spez!$M$2:$M$55,Anford_BioZBW_zert_spez!$E$2:$E$55,$H32)</f>
        <v>7.5</v>
      </c>
      <c r="K32" s="100">
        <f t="shared" si="2"/>
        <v>0</v>
      </c>
    </row>
    <row r="33" spans="1:11" ht="24" customHeight="1">
      <c r="A33" s="10" t="s">
        <v>165</v>
      </c>
      <c r="B33" s="106">
        <f>SUMIFS(Anford_QZBW_zert_spez!$M$2:$M$55,Anford_QZBW_zert_spez!$E$2:$E$55,$A33)</f>
        <v>0.9</v>
      </c>
      <c r="C33" s="106">
        <f>SUMIFS(Anford_BioZBW_zert_spez!$M$2:$M$55,Anford_BioZBW_zert_spez!$E$2:$E$55,$A33)</f>
        <v>0.9</v>
      </c>
      <c r="D33" s="106">
        <f t="shared" si="1"/>
        <v>0</v>
      </c>
      <c r="E33" s="12"/>
      <c r="F33" s="13"/>
      <c r="H33" s="99" t="s">
        <v>1856</v>
      </c>
      <c r="I33" s="95">
        <f>SUMIFS(Anford_QZBW_zert_spez!$M$2:$M$55,Anford_QZBW_zert_spez!$E$2:$E$55,$H33)</f>
        <v>7.5</v>
      </c>
      <c r="J33" s="95">
        <f>SUMIFS(Anford_BioZBW_zert_spez!$M$2:$M$55,Anford_BioZBW_zert_spez!$E$2:$E$55,$H33)</f>
        <v>7.5</v>
      </c>
      <c r="K33" s="100">
        <f t="shared" si="2"/>
        <v>0</v>
      </c>
    </row>
    <row r="34" spans="1:11" ht="24" customHeight="1">
      <c r="A34" s="10" t="s">
        <v>20</v>
      </c>
      <c r="B34" s="106">
        <f>SUMIFS(Anford_QZBW_zert_spez!$M$2:$M$55,Anford_QZBW_zert_spez!$E$2:$E$55,$A34)</f>
        <v>105</v>
      </c>
      <c r="C34" s="106">
        <f>SUMIFS(Anford_BioZBW_zert_spez!$M$2:$M$55,Anford_BioZBW_zert_spez!$E$2:$E$55,$A34)</f>
        <v>105</v>
      </c>
      <c r="D34" s="106">
        <f t="shared" si="1"/>
        <v>0</v>
      </c>
      <c r="E34" s="12"/>
      <c r="F34" s="13"/>
      <c r="H34" s="99" t="s">
        <v>1862</v>
      </c>
      <c r="I34" s="95">
        <f>SUMIFS(Anford_QZBW_zert_spez!$M$2:$M$55,Anford_QZBW_zert_spez!$E$2:$E$55,$H34)</f>
        <v>2.5</v>
      </c>
      <c r="J34" s="95">
        <f>SUMIFS(Anford_BioZBW_zert_spez!$M$2:$M$55,Anford_BioZBW_zert_spez!$E$2:$E$55,$H34)</f>
        <v>2.5</v>
      </c>
      <c r="K34" s="100">
        <f t="shared" si="2"/>
        <v>0</v>
      </c>
    </row>
    <row r="35" spans="1:11">
      <c r="A35" s="10" t="s">
        <v>180</v>
      </c>
      <c r="B35" s="91">
        <f>SUMIFS(Anford_QZBW_zert_spez!$M$2:$M$55,Anford_QZBW_zert_spez!$E$2:$E$55,$A35)</f>
        <v>15</v>
      </c>
      <c r="C35" s="91">
        <f>SUMIFS(Anford_BioZBW_zert_spez!$M$2:$M$55,Anford_BioZBW_zert_spez!$E$2:$E$55,$A35)</f>
        <v>22.5</v>
      </c>
      <c r="D35" s="91">
        <f>B35-C35</f>
        <v>-7.5</v>
      </c>
      <c r="E35" s="12"/>
      <c r="F35" s="13"/>
      <c r="H35" s="101" t="s">
        <v>1913</v>
      </c>
      <c r="I35" s="96">
        <f>SUM(I25:I34)</f>
        <v>31.65</v>
      </c>
      <c r="J35" s="96">
        <f>SUM(J25:J34)</f>
        <v>31.85</v>
      </c>
      <c r="K35" s="102">
        <f t="shared" si="2"/>
        <v>-0.20000000000000284</v>
      </c>
    </row>
    <row r="36" spans="1:11">
      <c r="A36" s="10" t="s">
        <v>188</v>
      </c>
      <c r="B36" s="91">
        <f>SUMIFS(Anford_QZBW_zert_spez!$M$2:$M$55,Anford_QZBW_zert_spez!$E$2:$E$55,$A36)</f>
        <v>45</v>
      </c>
      <c r="C36" s="91">
        <f>SUMIFS(Anford_BioZBW_zert_spez!$M$2:$M$55,Anford_BioZBW_zert_spez!$E$2:$E$55,$A36)</f>
        <v>45</v>
      </c>
      <c r="D36" s="91">
        <f>B36-C36</f>
        <v>0</v>
      </c>
      <c r="E36" s="12"/>
      <c r="F36" s="13"/>
      <c r="H36" s="103" t="s">
        <v>1914</v>
      </c>
      <c r="I36" s="104">
        <f>SUM(B24:B36)+I35</f>
        <v>1099.7</v>
      </c>
      <c r="J36" s="104">
        <f>SUM(C24:C36)+J35</f>
        <v>1049.8999999999999</v>
      </c>
      <c r="K36" s="105">
        <f t="shared" si="2"/>
        <v>49.800000000000182</v>
      </c>
    </row>
    <row r="37" spans="1:11" ht="28.3">
      <c r="A37" s="7" t="s">
        <v>461</v>
      </c>
      <c r="B37" s="7" t="s">
        <v>11</v>
      </c>
      <c r="C37" s="7" t="s">
        <v>462</v>
      </c>
      <c r="D37" s="7" t="s">
        <v>463</v>
      </c>
      <c r="E37" s="7" t="s">
        <v>464</v>
      </c>
      <c r="F37" s="13"/>
    </row>
    <row r="38" spans="1:11" ht="32.049999999999997" customHeight="1">
      <c r="A38" s="10" t="s">
        <v>465</v>
      </c>
      <c r="B38" s="11">
        <f>Annahmen!C7</f>
        <v>50</v>
      </c>
      <c r="C38" s="14">
        <f>SUMIFS(Anford_QZBW_zert_spez!$I$2:$I$55,Anford_QZBW_zert_spez!$L$2:$L$55,$B38)</f>
        <v>10</v>
      </c>
      <c r="D38" s="14">
        <f>SUMIFS(Anford_BioZBW_zert_spez!$I$2:$I$55,Anford_BioZBW_zert_spez!$L$2:$L$55,$B38)</f>
        <v>9</v>
      </c>
      <c r="E38" s="12" t="s">
        <v>466</v>
      </c>
      <c r="F38" s="13"/>
    </row>
    <row r="39" spans="1:11" ht="32.049999999999997" customHeight="1">
      <c r="A39" s="10" t="s">
        <v>467</v>
      </c>
      <c r="B39" s="11">
        <f>Annahmen!C8</f>
        <v>30</v>
      </c>
      <c r="C39" s="14">
        <f>SUMIFS(Anford_QZBW_zert_spez!$I$2:$I$55,Anford_QZBW_zert_spez!$L$2:$L$55,$B39)</f>
        <v>33.220000000000006</v>
      </c>
      <c r="D39" s="14">
        <f>SUMIFS(Anford_BioZBW_zert_spez!$I$2:$I$55,Anford_BioZBW_zert_spez!$L$2:$L$55,$B39)</f>
        <v>34.246666666666677</v>
      </c>
      <c r="E39" s="12" t="s">
        <v>466</v>
      </c>
      <c r="F39" s="13"/>
    </row>
    <row r="40" spans="1:11" ht="32.049999999999997" customHeight="1">
      <c r="A40" s="10" t="s">
        <v>468</v>
      </c>
      <c r="B40" s="11">
        <f>Annahmen!C9</f>
        <v>25</v>
      </c>
      <c r="C40" s="14">
        <f>SUMIFS(Anford_QZBW_zert_spez!$I$2:$I$55,Anford_QZBW_zert_spez!$L$2:$L$55,$B40)</f>
        <v>1</v>
      </c>
      <c r="D40" s="14">
        <f>SUMIFS(Anford_BioZBW_zert_spez!$I$2:$I$55,Anford_BioZBW_zert_spez!$L$2:$L$55,$B40)</f>
        <v>1</v>
      </c>
      <c r="E40" s="12" t="s">
        <v>466</v>
      </c>
      <c r="F40" s="13"/>
    </row>
    <row r="41" spans="1:11">
      <c r="A41" s="10"/>
      <c r="B41" s="12"/>
      <c r="C41" s="12"/>
      <c r="D41" s="12"/>
      <c r="E41" s="12"/>
      <c r="F41" s="13"/>
    </row>
    <row r="42" spans="1:11">
      <c r="A42" s="10"/>
      <c r="B42" s="12"/>
      <c r="C42" s="12"/>
      <c r="D42" s="12"/>
      <c r="E42" s="12"/>
      <c r="F42" s="13"/>
    </row>
    <row r="43" spans="1:11">
      <c r="A43" s="110" t="s">
        <v>469</v>
      </c>
      <c r="B43" s="111"/>
      <c r="C43" s="111"/>
      <c r="D43" s="111"/>
      <c r="E43" s="111"/>
      <c r="F43" s="112"/>
    </row>
    <row r="44" spans="1:11" ht="34" customHeight="1">
      <c r="A44" s="113" t="s">
        <v>470</v>
      </c>
      <c r="B44" s="114"/>
      <c r="C44" s="114"/>
      <c r="D44" s="114"/>
      <c r="E44" s="114"/>
      <c r="F44" s="115"/>
    </row>
    <row r="45" spans="1:11" ht="34" customHeight="1">
      <c r="A45" s="113" t="s">
        <v>471</v>
      </c>
      <c r="B45" s="114"/>
      <c r="C45" s="114"/>
      <c r="D45" s="114"/>
      <c r="E45" s="114"/>
      <c r="F45" s="115"/>
    </row>
    <row r="46" spans="1:11" ht="34" customHeight="1">
      <c r="A46" s="113" t="s">
        <v>472</v>
      </c>
      <c r="B46" s="114"/>
      <c r="C46" s="114"/>
      <c r="D46" s="114"/>
      <c r="E46" s="114"/>
      <c r="F46" s="115"/>
    </row>
    <row r="47" spans="1:11" ht="34" customHeight="1">
      <c r="A47" s="113" t="s">
        <v>473</v>
      </c>
      <c r="B47" s="114"/>
      <c r="C47" s="114"/>
      <c r="D47" s="114"/>
      <c r="E47" s="114"/>
      <c r="F47" s="115"/>
    </row>
    <row r="48" spans="1:11" ht="34" customHeight="1">
      <c r="A48" s="113" t="s">
        <v>474</v>
      </c>
      <c r="B48" s="114"/>
      <c r="C48" s="114"/>
      <c r="D48" s="114"/>
      <c r="E48" s="114"/>
      <c r="F48" s="115"/>
    </row>
    <row r="49" spans="1:11" ht="34" customHeight="1">
      <c r="A49" s="113" t="s">
        <v>475</v>
      </c>
      <c r="B49" s="114"/>
      <c r="C49" s="114"/>
      <c r="D49" s="114"/>
      <c r="E49" s="114"/>
      <c r="F49" s="115"/>
    </row>
    <row r="50" spans="1:11" ht="34" customHeight="1">
      <c r="A50" s="113" t="s">
        <v>476</v>
      </c>
      <c r="B50" s="114"/>
      <c r="C50" s="114"/>
      <c r="D50" s="114"/>
      <c r="E50" s="114"/>
      <c r="F50" s="115"/>
    </row>
    <row r="51" spans="1:11" ht="34" customHeight="1">
      <c r="A51" s="116" t="s">
        <v>477</v>
      </c>
      <c r="B51" s="117"/>
      <c r="C51" s="117"/>
      <c r="D51" s="117"/>
      <c r="E51" s="117"/>
      <c r="F51" s="118"/>
    </row>
    <row r="52" spans="1:11" ht="34" customHeight="1">
      <c r="A52" s="35" t="s">
        <v>478</v>
      </c>
      <c r="B52" s="35"/>
      <c r="C52" s="35"/>
      <c r="D52" s="35"/>
      <c r="E52" s="35"/>
      <c r="F52" s="35"/>
    </row>
    <row r="53" spans="1:11" ht="34" customHeight="1">
      <c r="A53" s="35" t="s">
        <v>479</v>
      </c>
      <c r="B53" s="35"/>
      <c r="C53" s="35"/>
      <c r="D53" s="35"/>
      <c r="E53" s="35"/>
      <c r="F53" s="35"/>
    </row>
    <row r="54" spans="1:11" ht="34" customHeight="1">
      <c r="A54" s="35" t="s">
        <v>480</v>
      </c>
      <c r="B54" s="35"/>
      <c r="C54" s="35"/>
      <c r="D54" s="35"/>
      <c r="E54" s="35"/>
      <c r="F54" s="35"/>
    </row>
    <row r="55" spans="1:11">
      <c r="A55" s="107" t="s">
        <v>481</v>
      </c>
      <c r="B55" s="107"/>
      <c r="C55" s="107"/>
      <c r="D55" s="107"/>
      <c r="E55" s="107"/>
      <c r="F55" s="107"/>
      <c r="G55" s="107"/>
      <c r="H55" s="107"/>
      <c r="I55" s="107"/>
      <c r="J55" s="107"/>
      <c r="K55" s="107"/>
    </row>
    <row r="56" spans="1:11">
      <c r="A56" s="107" t="s">
        <v>482</v>
      </c>
      <c r="B56" s="107"/>
      <c r="C56" s="107"/>
      <c r="D56" s="107"/>
      <c r="E56" s="107"/>
      <c r="F56" s="107"/>
      <c r="G56" s="107"/>
      <c r="H56" s="107"/>
      <c r="I56" s="107"/>
      <c r="J56" s="107"/>
      <c r="K56" s="107"/>
    </row>
    <row r="57" spans="1:11" ht="31.5" customHeight="1">
      <c r="A57" s="107" t="s">
        <v>1915</v>
      </c>
      <c r="B57" s="107"/>
      <c r="C57" s="107"/>
      <c r="D57" s="107"/>
      <c r="E57" s="107"/>
      <c r="F57" s="107"/>
      <c r="G57" s="107"/>
      <c r="H57" s="107"/>
      <c r="I57" s="107"/>
      <c r="J57" s="107"/>
      <c r="K57" s="107"/>
    </row>
  </sheetData>
  <mergeCells count="15">
    <mergeCell ref="A57:K57"/>
    <mergeCell ref="A55:K55"/>
    <mergeCell ref="A56:K56"/>
    <mergeCell ref="A1:F1"/>
    <mergeCell ref="A2:F2"/>
    <mergeCell ref="A43:F43"/>
    <mergeCell ref="A44:F44"/>
    <mergeCell ref="A45:F45"/>
    <mergeCell ref="A51:F51"/>
    <mergeCell ref="A46:F46"/>
    <mergeCell ref="A47:F47"/>
    <mergeCell ref="A48:F48"/>
    <mergeCell ref="A49:F49"/>
    <mergeCell ref="A50:F50"/>
    <mergeCell ref="H23:K23"/>
  </mergeCells>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3"/>
  <sheetViews>
    <sheetView showGridLines="0" workbookViewId="0">
      <selection sqref="A1:I1"/>
    </sheetView>
  </sheetViews>
  <sheetFormatPr baseColWidth="10" defaultColWidth="9.140625" defaultRowHeight="14.15"/>
  <cols>
    <col min="1" max="1" width="14" customWidth="1"/>
    <col min="2" max="2" width="18" customWidth="1"/>
    <col min="3" max="3" width="34" customWidth="1"/>
    <col min="4" max="4" width="20" customWidth="1"/>
    <col min="5" max="5" width="30" customWidth="1"/>
    <col min="6" max="6" width="52" customWidth="1"/>
    <col min="7" max="7" width="32" customWidth="1"/>
    <col min="8" max="8" width="38" customWidth="1"/>
    <col min="9" max="9" width="42" customWidth="1"/>
  </cols>
  <sheetData>
    <row r="1" spans="1:9" ht="30" customHeight="1">
      <c r="A1" s="122" t="s">
        <v>483</v>
      </c>
      <c r="B1" s="122"/>
      <c r="C1" s="122"/>
      <c r="D1" s="122"/>
      <c r="E1" s="122"/>
      <c r="F1" s="122"/>
      <c r="G1" s="122"/>
      <c r="H1" s="122"/>
      <c r="I1" s="122"/>
    </row>
    <row r="2" spans="1:9" ht="34" customHeight="1">
      <c r="A2" s="109" t="s">
        <v>484</v>
      </c>
      <c r="B2" s="109"/>
      <c r="C2" s="109"/>
      <c r="D2" s="109"/>
      <c r="E2" s="109"/>
      <c r="F2" s="109"/>
      <c r="G2" s="109"/>
      <c r="H2" s="109"/>
      <c r="I2" s="109"/>
    </row>
    <row r="3" spans="1:9">
      <c r="A3" s="1" t="s">
        <v>485</v>
      </c>
      <c r="B3" s="1" t="s">
        <v>1</v>
      </c>
      <c r="C3" s="1" t="s">
        <v>486</v>
      </c>
      <c r="D3" s="1" t="s">
        <v>487</v>
      </c>
      <c r="E3" s="1" t="s">
        <v>488</v>
      </c>
      <c r="F3" s="1" t="s">
        <v>489</v>
      </c>
      <c r="G3" s="1" t="s">
        <v>490</v>
      </c>
      <c r="H3" s="1" t="s">
        <v>491</v>
      </c>
      <c r="I3" s="1" t="s">
        <v>492</v>
      </c>
    </row>
    <row r="4" spans="1:9" ht="54" customHeight="1">
      <c r="A4" s="2" t="s">
        <v>493</v>
      </c>
      <c r="B4" s="2" t="s">
        <v>494</v>
      </c>
      <c r="C4" s="2" t="s">
        <v>495</v>
      </c>
      <c r="D4" s="2" t="s">
        <v>496</v>
      </c>
      <c r="E4" s="2" t="s">
        <v>497</v>
      </c>
      <c r="F4" s="2" t="s">
        <v>498</v>
      </c>
      <c r="G4" s="2" t="s">
        <v>499</v>
      </c>
      <c r="H4" s="2" t="s">
        <v>500</v>
      </c>
      <c r="I4" s="2" t="s">
        <v>501</v>
      </c>
    </row>
    <row r="5" spans="1:9" ht="54" customHeight="1">
      <c r="A5" s="2" t="s">
        <v>502</v>
      </c>
      <c r="B5" s="2" t="s">
        <v>17</v>
      </c>
      <c r="C5" s="2" t="s">
        <v>503</v>
      </c>
      <c r="D5" s="2" t="s">
        <v>504</v>
      </c>
      <c r="E5" s="2" t="s">
        <v>505</v>
      </c>
      <c r="F5" s="28" t="s">
        <v>506</v>
      </c>
      <c r="G5" s="2" t="s">
        <v>507</v>
      </c>
      <c r="H5" s="2" t="s">
        <v>508</v>
      </c>
      <c r="I5" s="2" t="s">
        <v>509</v>
      </c>
    </row>
    <row r="6" spans="1:9" ht="54" customHeight="1">
      <c r="A6" s="2" t="s">
        <v>510</v>
      </c>
      <c r="B6" s="2" t="s">
        <v>268</v>
      </c>
      <c r="C6" s="2" t="s">
        <v>511</v>
      </c>
      <c r="D6" s="2" t="s">
        <v>512</v>
      </c>
      <c r="E6" s="2" t="s">
        <v>513</v>
      </c>
      <c r="F6" s="2" t="s">
        <v>506</v>
      </c>
      <c r="G6" s="2" t="s">
        <v>514</v>
      </c>
      <c r="H6" s="2" t="s">
        <v>515</v>
      </c>
      <c r="I6" s="2" t="s">
        <v>516</v>
      </c>
    </row>
    <row r="7" spans="1:9" ht="54" customHeight="1">
      <c r="A7" s="2" t="s">
        <v>517</v>
      </c>
      <c r="B7" s="2" t="s">
        <v>518</v>
      </c>
      <c r="C7" s="2" t="s">
        <v>519</v>
      </c>
      <c r="D7" s="2" t="s">
        <v>520</v>
      </c>
      <c r="E7" s="2" t="s">
        <v>521</v>
      </c>
      <c r="F7" s="2" t="s">
        <v>506</v>
      </c>
      <c r="G7" s="2" t="s">
        <v>522</v>
      </c>
      <c r="H7" s="2" t="s">
        <v>523</v>
      </c>
      <c r="I7" s="2" t="s">
        <v>524</v>
      </c>
    </row>
    <row r="8" spans="1:9" ht="54" customHeight="1">
      <c r="A8" s="2" t="s">
        <v>525</v>
      </c>
      <c r="B8" s="2" t="s">
        <v>268</v>
      </c>
      <c r="C8" s="2" t="s">
        <v>411</v>
      </c>
      <c r="D8" s="2" t="s">
        <v>526</v>
      </c>
      <c r="E8" s="2" t="s">
        <v>527</v>
      </c>
      <c r="F8" s="2" t="s">
        <v>528</v>
      </c>
      <c r="G8" s="2" t="s">
        <v>529</v>
      </c>
      <c r="H8" s="2" t="s">
        <v>530</v>
      </c>
      <c r="I8" s="2" t="s">
        <v>531</v>
      </c>
    </row>
    <row r="9" spans="1:9" ht="54" customHeight="1">
      <c r="A9" s="2" t="s">
        <v>532</v>
      </c>
      <c r="B9" s="2" t="s">
        <v>268</v>
      </c>
      <c r="C9" s="2" t="s">
        <v>310</v>
      </c>
      <c r="D9" s="2" t="s">
        <v>533</v>
      </c>
      <c r="E9" s="2" t="s">
        <v>534</v>
      </c>
      <c r="F9" s="2" t="s">
        <v>535</v>
      </c>
      <c r="G9" s="2" t="s">
        <v>536</v>
      </c>
      <c r="H9" s="2" t="s">
        <v>537</v>
      </c>
      <c r="I9" s="2" t="s">
        <v>538</v>
      </c>
    </row>
    <row r="10" spans="1:9" ht="40" customHeight="1">
      <c r="A10" s="2" t="s">
        <v>539</v>
      </c>
      <c r="B10" s="2" t="s">
        <v>494</v>
      </c>
      <c r="C10" s="2" t="s">
        <v>540</v>
      </c>
      <c r="D10" s="2" t="s">
        <v>541</v>
      </c>
      <c r="E10" s="2" t="s">
        <v>542</v>
      </c>
      <c r="F10" s="2" t="s">
        <v>543</v>
      </c>
      <c r="G10" s="2" t="s">
        <v>544</v>
      </c>
      <c r="H10" s="2" t="s">
        <v>545</v>
      </c>
      <c r="I10" s="2" t="s">
        <v>546</v>
      </c>
    </row>
    <row r="11" spans="1:9" ht="40" customHeight="1">
      <c r="A11" s="2" t="s">
        <v>547</v>
      </c>
      <c r="B11" s="2" t="s">
        <v>548</v>
      </c>
      <c r="C11" s="2" t="s">
        <v>549</v>
      </c>
      <c r="D11" s="2" t="s">
        <v>550</v>
      </c>
      <c r="E11" s="2" t="s">
        <v>551</v>
      </c>
      <c r="F11" s="2" t="s">
        <v>552</v>
      </c>
      <c r="G11" s="2" t="s">
        <v>553</v>
      </c>
      <c r="H11" s="2" t="s">
        <v>554</v>
      </c>
      <c r="I11" s="2" t="s">
        <v>555</v>
      </c>
    </row>
    <row r="12" spans="1:9" ht="40" customHeight="1">
      <c r="A12" s="2" t="s">
        <v>556</v>
      </c>
      <c r="B12" s="2" t="s">
        <v>548</v>
      </c>
      <c r="C12" s="2" t="s">
        <v>557</v>
      </c>
      <c r="D12" s="2" t="s">
        <v>550</v>
      </c>
      <c r="E12" s="2" t="s">
        <v>551</v>
      </c>
      <c r="F12" s="2" t="s">
        <v>558</v>
      </c>
      <c r="G12" s="2" t="s">
        <v>559</v>
      </c>
      <c r="H12" s="2" t="s">
        <v>560</v>
      </c>
      <c r="I12" s="2" t="s">
        <v>561</v>
      </c>
    </row>
    <row r="13" spans="1:9" ht="54" customHeight="1">
      <c r="A13" s="2" t="s">
        <v>562</v>
      </c>
      <c r="B13" s="2" t="s">
        <v>17</v>
      </c>
      <c r="C13" s="2" t="s">
        <v>563</v>
      </c>
      <c r="D13" s="2" t="s">
        <v>564</v>
      </c>
      <c r="E13" s="2" t="s">
        <v>565</v>
      </c>
      <c r="F13" s="2" t="s">
        <v>566</v>
      </c>
      <c r="G13" s="2" t="s">
        <v>567</v>
      </c>
      <c r="H13" s="2" t="s">
        <v>568</v>
      </c>
      <c r="I13" s="2" t="s">
        <v>569</v>
      </c>
    </row>
    <row r="14" spans="1:9" ht="54" customHeight="1">
      <c r="A14" s="2" t="s">
        <v>570</v>
      </c>
      <c r="B14" s="2" t="s">
        <v>268</v>
      </c>
      <c r="C14" s="2" t="s">
        <v>571</v>
      </c>
      <c r="D14" s="2" t="s">
        <v>564</v>
      </c>
      <c r="E14" s="2" t="s">
        <v>572</v>
      </c>
      <c r="F14" s="2" t="s">
        <v>566</v>
      </c>
      <c r="G14" s="2" t="s">
        <v>567</v>
      </c>
      <c r="H14" s="2" t="s">
        <v>568</v>
      </c>
      <c r="I14" s="2" t="s">
        <v>573</v>
      </c>
    </row>
    <row r="15" spans="1:9" ht="54" customHeight="1">
      <c r="A15" s="20" t="s">
        <v>574</v>
      </c>
      <c r="B15" s="20" t="s">
        <v>17</v>
      </c>
      <c r="C15" s="20" t="s">
        <v>575</v>
      </c>
      <c r="D15" s="20" t="s">
        <v>576</v>
      </c>
      <c r="E15" s="20" t="s">
        <v>577</v>
      </c>
      <c r="F15" s="20" t="s">
        <v>506</v>
      </c>
      <c r="G15" s="20" t="s">
        <v>578</v>
      </c>
      <c r="H15" s="20" t="s">
        <v>579</v>
      </c>
      <c r="I15" s="20" t="s">
        <v>580</v>
      </c>
    </row>
    <row r="16" spans="1:9" ht="54" customHeight="1">
      <c r="A16" s="21" t="s">
        <v>581</v>
      </c>
      <c r="B16" s="21" t="s">
        <v>17</v>
      </c>
      <c r="C16" s="21" t="s">
        <v>582</v>
      </c>
      <c r="D16" s="21" t="s">
        <v>583</v>
      </c>
      <c r="E16" s="21" t="s">
        <v>584</v>
      </c>
      <c r="F16" s="21" t="s">
        <v>506</v>
      </c>
      <c r="G16" s="21" t="s">
        <v>585</v>
      </c>
      <c r="H16" s="21" t="s">
        <v>586</v>
      </c>
      <c r="I16" s="21" t="s">
        <v>587</v>
      </c>
    </row>
    <row r="17" spans="1:9" ht="54" customHeight="1">
      <c r="A17" s="20" t="s">
        <v>588</v>
      </c>
      <c r="B17" s="20" t="s">
        <v>17</v>
      </c>
      <c r="C17" s="20" t="s">
        <v>589</v>
      </c>
      <c r="D17" s="20" t="s">
        <v>590</v>
      </c>
      <c r="E17" s="20" t="s">
        <v>591</v>
      </c>
      <c r="F17" s="20" t="s">
        <v>506</v>
      </c>
      <c r="G17" s="20" t="s">
        <v>585</v>
      </c>
      <c r="H17" s="20" t="s">
        <v>592</v>
      </c>
      <c r="I17" s="20" t="s">
        <v>587</v>
      </c>
    </row>
    <row r="18" spans="1:9" ht="54" customHeight="1">
      <c r="A18" s="21" t="s">
        <v>593</v>
      </c>
      <c r="B18" s="21" t="s">
        <v>17</v>
      </c>
      <c r="C18" s="21" t="s">
        <v>594</v>
      </c>
      <c r="D18" s="21" t="s">
        <v>595</v>
      </c>
      <c r="E18" s="21" t="s">
        <v>596</v>
      </c>
      <c r="F18" s="21" t="s">
        <v>506</v>
      </c>
      <c r="G18" s="21" t="s">
        <v>597</v>
      </c>
      <c r="H18" s="21" t="s">
        <v>598</v>
      </c>
      <c r="I18" s="21" t="s">
        <v>599</v>
      </c>
    </row>
    <row r="19" spans="1:9" ht="54" customHeight="1">
      <c r="A19" s="20" t="s">
        <v>600</v>
      </c>
      <c r="B19" s="20" t="s">
        <v>17</v>
      </c>
      <c r="C19" s="20" t="s">
        <v>601</v>
      </c>
      <c r="D19" s="20" t="s">
        <v>590</v>
      </c>
      <c r="E19" s="20" t="s">
        <v>602</v>
      </c>
      <c r="F19" s="20" t="s">
        <v>506</v>
      </c>
      <c r="G19" s="20" t="s">
        <v>597</v>
      </c>
      <c r="H19" s="20" t="s">
        <v>603</v>
      </c>
      <c r="I19" s="20" t="s">
        <v>587</v>
      </c>
    </row>
    <row r="20" spans="1:9" ht="54" customHeight="1">
      <c r="A20" s="21" t="s">
        <v>604</v>
      </c>
      <c r="B20" s="21" t="s">
        <v>17</v>
      </c>
      <c r="C20" s="21" t="s">
        <v>605</v>
      </c>
      <c r="D20" s="21" t="s">
        <v>606</v>
      </c>
      <c r="E20" s="21" t="s">
        <v>607</v>
      </c>
      <c r="F20" s="21" t="s">
        <v>506</v>
      </c>
      <c r="G20" s="21" t="s">
        <v>559</v>
      </c>
      <c r="H20" s="21" t="s">
        <v>608</v>
      </c>
      <c r="I20" s="21" t="s">
        <v>609</v>
      </c>
    </row>
    <row r="21" spans="1:9" ht="54" customHeight="1">
      <c r="A21" s="20" t="s">
        <v>610</v>
      </c>
      <c r="B21" s="20" t="s">
        <v>17</v>
      </c>
      <c r="C21" s="20" t="s">
        <v>611</v>
      </c>
      <c r="D21" s="20" t="s">
        <v>606</v>
      </c>
      <c r="E21" s="20" t="s">
        <v>612</v>
      </c>
      <c r="F21" s="20" t="s">
        <v>506</v>
      </c>
      <c r="G21" s="20" t="s">
        <v>613</v>
      </c>
      <c r="H21" s="20" t="s">
        <v>614</v>
      </c>
      <c r="I21" s="20" t="s">
        <v>609</v>
      </c>
    </row>
    <row r="22" spans="1:9" ht="54" customHeight="1">
      <c r="A22" s="21" t="s">
        <v>615</v>
      </c>
      <c r="B22" s="21" t="s">
        <v>17</v>
      </c>
      <c r="C22" s="21" t="s">
        <v>616</v>
      </c>
      <c r="D22" s="21" t="s">
        <v>504</v>
      </c>
      <c r="E22" s="21" t="s">
        <v>617</v>
      </c>
      <c r="F22" s="21" t="s">
        <v>506</v>
      </c>
      <c r="G22" s="21" t="s">
        <v>618</v>
      </c>
      <c r="H22" s="21" t="s">
        <v>619</v>
      </c>
      <c r="I22" s="21" t="s">
        <v>620</v>
      </c>
    </row>
    <row r="23" spans="1:9" ht="54" customHeight="1">
      <c r="A23" s="20" t="s">
        <v>621</v>
      </c>
      <c r="B23" s="20" t="s">
        <v>17</v>
      </c>
      <c r="C23" s="20" t="s">
        <v>622</v>
      </c>
      <c r="D23" s="20" t="s">
        <v>504</v>
      </c>
      <c r="E23" s="20" t="s">
        <v>623</v>
      </c>
      <c r="F23" s="20" t="s">
        <v>506</v>
      </c>
      <c r="G23" s="20" t="s">
        <v>624</v>
      </c>
      <c r="H23" s="20" t="s">
        <v>619</v>
      </c>
      <c r="I23" s="20" t="s">
        <v>620</v>
      </c>
    </row>
    <row r="24" spans="1:9" ht="54" customHeight="1">
      <c r="A24" s="21" t="s">
        <v>625</v>
      </c>
      <c r="B24" s="21" t="s">
        <v>268</v>
      </c>
      <c r="C24" s="21" t="s">
        <v>626</v>
      </c>
      <c r="D24" s="21" t="s">
        <v>627</v>
      </c>
      <c r="E24" s="21" t="s">
        <v>628</v>
      </c>
      <c r="F24" s="21" t="s">
        <v>506</v>
      </c>
      <c r="G24" s="21" t="s">
        <v>629</v>
      </c>
      <c r="H24" s="21" t="s">
        <v>630</v>
      </c>
      <c r="I24" s="21" t="s">
        <v>631</v>
      </c>
    </row>
    <row r="25" spans="1:9" ht="54" customHeight="1">
      <c r="A25" s="20" t="s">
        <v>632</v>
      </c>
      <c r="B25" s="20" t="s">
        <v>268</v>
      </c>
      <c r="C25" s="20" t="s">
        <v>633</v>
      </c>
      <c r="D25" s="20" t="s">
        <v>634</v>
      </c>
      <c r="E25" s="20" t="s">
        <v>635</v>
      </c>
      <c r="F25" s="20" t="s">
        <v>506</v>
      </c>
      <c r="G25" s="20" t="s">
        <v>636</v>
      </c>
      <c r="H25" s="20" t="s">
        <v>637</v>
      </c>
      <c r="I25" s="20" t="s">
        <v>638</v>
      </c>
    </row>
    <row r="26" spans="1:9" ht="54" customHeight="1">
      <c r="A26" s="21" t="s">
        <v>639</v>
      </c>
      <c r="B26" s="21" t="s">
        <v>268</v>
      </c>
      <c r="C26" s="21" t="s">
        <v>601</v>
      </c>
      <c r="D26" s="21" t="s">
        <v>512</v>
      </c>
      <c r="E26" s="21" t="s">
        <v>640</v>
      </c>
      <c r="F26" s="21" t="s">
        <v>506</v>
      </c>
      <c r="G26" s="21" t="s">
        <v>597</v>
      </c>
      <c r="H26" s="21" t="s">
        <v>603</v>
      </c>
      <c r="I26" s="21" t="s">
        <v>641</v>
      </c>
    </row>
    <row r="27" spans="1:9" ht="54" customHeight="1">
      <c r="A27" s="20" t="s">
        <v>642</v>
      </c>
      <c r="B27" s="20" t="s">
        <v>268</v>
      </c>
      <c r="C27" s="20" t="s">
        <v>643</v>
      </c>
      <c r="D27" s="20" t="s">
        <v>606</v>
      </c>
      <c r="E27" s="20" t="s">
        <v>644</v>
      </c>
      <c r="F27" s="20" t="s">
        <v>506</v>
      </c>
      <c r="G27" s="20" t="s">
        <v>645</v>
      </c>
      <c r="H27" s="20" t="s">
        <v>646</v>
      </c>
      <c r="I27" s="20" t="s">
        <v>638</v>
      </c>
    </row>
    <row r="28" spans="1:9" ht="54" customHeight="1">
      <c r="A28" s="21" t="s">
        <v>647</v>
      </c>
      <c r="B28" s="21" t="s">
        <v>268</v>
      </c>
      <c r="C28" s="21" t="s">
        <v>648</v>
      </c>
      <c r="D28" s="21" t="s">
        <v>504</v>
      </c>
      <c r="E28" s="21" t="s">
        <v>649</v>
      </c>
      <c r="F28" s="21" t="s">
        <v>506</v>
      </c>
      <c r="G28" s="21" t="s">
        <v>624</v>
      </c>
      <c r="H28" s="21" t="s">
        <v>650</v>
      </c>
      <c r="I28" s="21" t="s">
        <v>638</v>
      </c>
    </row>
    <row r="29" spans="1:9" ht="54" customHeight="1">
      <c r="A29" s="20" t="s">
        <v>651</v>
      </c>
      <c r="B29" s="20" t="s">
        <v>268</v>
      </c>
      <c r="C29" s="20" t="s">
        <v>652</v>
      </c>
      <c r="D29" s="20" t="s">
        <v>504</v>
      </c>
      <c r="E29" s="20" t="s">
        <v>653</v>
      </c>
      <c r="F29" s="20" t="s">
        <v>506</v>
      </c>
      <c r="G29" s="20" t="s">
        <v>624</v>
      </c>
      <c r="H29" s="20" t="s">
        <v>654</v>
      </c>
      <c r="I29" s="20" t="s">
        <v>655</v>
      </c>
    </row>
    <row r="30" spans="1:9" ht="54" customHeight="1">
      <c r="A30" s="21" t="s">
        <v>656</v>
      </c>
      <c r="B30" s="21" t="s">
        <v>17</v>
      </c>
      <c r="C30" s="21" t="s">
        <v>519</v>
      </c>
      <c r="D30" s="21" t="s">
        <v>657</v>
      </c>
      <c r="E30" s="21" t="s">
        <v>521</v>
      </c>
      <c r="F30" s="21" t="s">
        <v>506</v>
      </c>
      <c r="G30" s="21" t="s">
        <v>522</v>
      </c>
      <c r="H30" s="21" t="s">
        <v>658</v>
      </c>
      <c r="I30" s="21" t="s">
        <v>659</v>
      </c>
    </row>
    <row r="31" spans="1:9" ht="54" customHeight="1">
      <c r="A31" s="36" t="s">
        <v>660</v>
      </c>
      <c r="B31" s="36" t="s">
        <v>268</v>
      </c>
      <c r="C31" s="36" t="s">
        <v>661</v>
      </c>
      <c r="D31" s="36" t="s">
        <v>533</v>
      </c>
      <c r="E31" s="36" t="s">
        <v>662</v>
      </c>
      <c r="F31" s="36" t="s">
        <v>663</v>
      </c>
      <c r="G31" s="36" t="s">
        <v>664</v>
      </c>
      <c r="H31" s="36" t="s">
        <v>665</v>
      </c>
      <c r="I31" s="36" t="s">
        <v>666</v>
      </c>
    </row>
    <row r="32" spans="1:9">
      <c r="A32" t="s">
        <v>667</v>
      </c>
      <c r="B32" t="s">
        <v>17</v>
      </c>
      <c r="C32" t="s">
        <v>611</v>
      </c>
      <c r="D32" t="s">
        <v>668</v>
      </c>
      <c r="E32" t="s">
        <v>669</v>
      </c>
      <c r="F32" t="s">
        <v>506</v>
      </c>
      <c r="G32" t="s">
        <v>613</v>
      </c>
      <c r="H32" t="s">
        <v>670</v>
      </c>
      <c r="I32" t="s">
        <v>671</v>
      </c>
    </row>
    <row r="33" spans="1:9">
      <c r="A33" t="s">
        <v>672</v>
      </c>
      <c r="B33" t="s">
        <v>17</v>
      </c>
      <c r="C33" t="s">
        <v>673</v>
      </c>
      <c r="D33" t="s">
        <v>674</v>
      </c>
      <c r="E33" t="s">
        <v>675</v>
      </c>
      <c r="F33" t="s">
        <v>506</v>
      </c>
      <c r="G33" t="s">
        <v>676</v>
      </c>
      <c r="H33" t="s">
        <v>677</v>
      </c>
      <c r="I33" t="s">
        <v>678</v>
      </c>
    </row>
  </sheetData>
  <mergeCells count="2">
    <mergeCell ref="A1:I1"/>
    <mergeCell ref="A2:I2"/>
  </mergeCells>
  <hyperlinks>
    <hyperlink ref="F5" r:id="rId1" xr:uid="{00000000-0004-0000-0300-000000000000}"/>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2"/>
  <sheetViews>
    <sheetView showGridLines="0" workbookViewId="0">
      <selection sqref="A1:J1"/>
    </sheetView>
  </sheetViews>
  <sheetFormatPr baseColWidth="10" defaultColWidth="9.140625" defaultRowHeight="14.15"/>
  <cols>
    <col min="1" max="1" width="14" customWidth="1"/>
    <col min="2" max="2" width="16" customWidth="1"/>
    <col min="3" max="3" width="24" customWidth="1"/>
    <col min="4" max="4" width="38" customWidth="1"/>
    <col min="5" max="5" width="26" customWidth="1"/>
    <col min="6" max="6" width="40" customWidth="1"/>
    <col min="7" max="8" width="52" customWidth="1"/>
    <col min="9" max="9" width="46" customWidth="1"/>
    <col min="10" max="10" width="18" customWidth="1"/>
  </cols>
  <sheetData>
    <row r="1" spans="1:10" ht="30" customHeight="1">
      <c r="A1" s="122" t="s">
        <v>0</v>
      </c>
      <c r="B1" s="122"/>
      <c r="C1" s="122"/>
      <c r="D1" s="122"/>
      <c r="E1" s="122"/>
      <c r="F1" s="122"/>
      <c r="G1" s="122"/>
      <c r="H1" s="122"/>
      <c r="I1" s="122"/>
      <c r="J1" s="122"/>
    </row>
    <row r="2" spans="1:10" ht="40" customHeight="1">
      <c r="A2" s="109" t="s">
        <v>679</v>
      </c>
      <c r="B2" s="109"/>
      <c r="C2" s="109"/>
      <c r="D2" s="109"/>
      <c r="E2" s="109"/>
      <c r="F2" s="109"/>
      <c r="G2" s="109"/>
      <c r="H2" s="109"/>
      <c r="I2" s="109"/>
      <c r="J2" s="109"/>
    </row>
    <row r="3" spans="1:10" ht="40" customHeight="1">
      <c r="A3" s="109"/>
      <c r="B3" s="109"/>
      <c r="C3" s="109"/>
      <c r="D3" s="109"/>
      <c r="E3" s="109"/>
      <c r="F3" s="109"/>
      <c r="G3" s="109"/>
      <c r="H3" s="109"/>
      <c r="I3" s="109"/>
      <c r="J3" s="109"/>
    </row>
    <row r="5" spans="1:10">
      <c r="A5" s="123" t="s">
        <v>680</v>
      </c>
      <c r="B5" s="123"/>
      <c r="C5" s="123"/>
      <c r="D5" s="123"/>
      <c r="E5" s="123"/>
      <c r="F5" s="123"/>
      <c r="G5" s="123"/>
      <c r="H5" s="123"/>
      <c r="I5" s="123"/>
      <c r="J5" s="123"/>
    </row>
    <row r="6" spans="1:10">
      <c r="A6" s="1" t="s">
        <v>681</v>
      </c>
      <c r="B6" s="1" t="s">
        <v>682</v>
      </c>
      <c r="C6" s="1" t="s">
        <v>683</v>
      </c>
      <c r="D6" s="1" t="s">
        <v>684</v>
      </c>
      <c r="E6" s="1" t="s">
        <v>685</v>
      </c>
      <c r="F6" s="1" t="s">
        <v>686</v>
      </c>
      <c r="G6" s="1" t="s">
        <v>687</v>
      </c>
      <c r="H6" s="1" t="s">
        <v>688</v>
      </c>
      <c r="I6" s="1" t="s">
        <v>689</v>
      </c>
      <c r="J6" s="1" t="s">
        <v>446</v>
      </c>
    </row>
    <row r="7" spans="1:10" ht="40" customHeight="1">
      <c r="A7" s="2" t="s">
        <v>690</v>
      </c>
      <c r="B7" s="2" t="s">
        <v>691</v>
      </c>
      <c r="C7" s="3">
        <v>50</v>
      </c>
      <c r="D7" s="2" t="s">
        <v>692</v>
      </c>
      <c r="E7" s="2" t="s">
        <v>494</v>
      </c>
      <c r="F7" s="2" t="s">
        <v>693</v>
      </c>
      <c r="G7" s="2" t="s">
        <v>694</v>
      </c>
      <c r="H7" s="2" t="s">
        <v>695</v>
      </c>
      <c r="I7" s="2" t="s">
        <v>696</v>
      </c>
      <c r="J7" s="2" t="s">
        <v>697</v>
      </c>
    </row>
    <row r="8" spans="1:10" ht="40" customHeight="1">
      <c r="A8" s="2" t="s">
        <v>698</v>
      </c>
      <c r="B8" s="2" t="s">
        <v>699</v>
      </c>
      <c r="C8" s="3">
        <v>30</v>
      </c>
      <c r="D8" s="2" t="s">
        <v>692</v>
      </c>
      <c r="E8" s="2" t="s">
        <v>494</v>
      </c>
      <c r="F8" s="2" t="s">
        <v>700</v>
      </c>
      <c r="G8" s="2" t="s">
        <v>694</v>
      </c>
      <c r="H8" s="2" t="s">
        <v>695</v>
      </c>
      <c r="I8" s="2" t="s">
        <v>696</v>
      </c>
      <c r="J8" s="2" t="s">
        <v>697</v>
      </c>
    </row>
    <row r="9" spans="1:10" ht="40" customHeight="1">
      <c r="A9" s="2" t="s">
        <v>701</v>
      </c>
      <c r="B9" s="2" t="s">
        <v>702</v>
      </c>
      <c r="C9" s="3">
        <v>25</v>
      </c>
      <c r="D9" s="2" t="s">
        <v>692</v>
      </c>
      <c r="E9" s="2" t="s">
        <v>494</v>
      </c>
      <c r="F9" s="2" t="s">
        <v>703</v>
      </c>
      <c r="G9" s="2" t="s">
        <v>694</v>
      </c>
      <c r="H9" s="2" t="s">
        <v>695</v>
      </c>
      <c r="I9" s="2" t="s">
        <v>696</v>
      </c>
      <c r="J9" s="2" t="s">
        <v>697</v>
      </c>
    </row>
    <row r="10" spans="1:10" ht="40" customHeight="1">
      <c r="A10" s="2" t="s">
        <v>704</v>
      </c>
      <c r="B10" s="2" t="s">
        <v>705</v>
      </c>
      <c r="C10" s="4" t="s">
        <v>706</v>
      </c>
      <c r="D10" s="2" t="s">
        <v>707</v>
      </c>
      <c r="E10" s="2" t="s">
        <v>494</v>
      </c>
      <c r="F10" s="2" t="s">
        <v>708</v>
      </c>
      <c r="G10" s="2" t="s">
        <v>709</v>
      </c>
      <c r="H10" s="2" t="s">
        <v>710</v>
      </c>
      <c r="I10" s="2" t="s">
        <v>711</v>
      </c>
      <c r="J10" s="2" t="s">
        <v>697</v>
      </c>
    </row>
    <row r="11" spans="1:10" ht="40" customHeight="1">
      <c r="A11" s="2" t="s">
        <v>712</v>
      </c>
      <c r="B11" s="2" t="s">
        <v>713</v>
      </c>
      <c r="C11" s="4" t="s">
        <v>714</v>
      </c>
      <c r="D11" s="2" t="s">
        <v>715</v>
      </c>
      <c r="E11" s="2" t="s">
        <v>494</v>
      </c>
      <c r="F11" s="2" t="s">
        <v>716</v>
      </c>
      <c r="G11" s="2" t="s">
        <v>717</v>
      </c>
      <c r="H11" s="2" t="s">
        <v>718</v>
      </c>
      <c r="I11" s="2" t="s">
        <v>711</v>
      </c>
      <c r="J11" s="2" t="s">
        <v>697</v>
      </c>
    </row>
    <row r="12" spans="1:10" ht="40" customHeight="1">
      <c r="A12" s="2" t="s">
        <v>719</v>
      </c>
      <c r="B12" s="2" t="s">
        <v>720</v>
      </c>
      <c r="C12" s="4" t="s">
        <v>721</v>
      </c>
      <c r="D12" s="2" t="s">
        <v>722</v>
      </c>
      <c r="E12" s="2" t="s">
        <v>494</v>
      </c>
      <c r="F12" s="2" t="s">
        <v>708</v>
      </c>
      <c r="G12" s="2" t="s">
        <v>723</v>
      </c>
      <c r="H12" s="2" t="s">
        <v>718</v>
      </c>
      <c r="I12" s="2" t="s">
        <v>711</v>
      </c>
      <c r="J12" s="2" t="s">
        <v>697</v>
      </c>
    </row>
    <row r="13" spans="1:10" ht="40" customHeight="1">
      <c r="A13" s="2" t="s">
        <v>724</v>
      </c>
      <c r="B13" s="2" t="s">
        <v>725</v>
      </c>
      <c r="C13" s="4" t="s">
        <v>726</v>
      </c>
      <c r="D13" s="2" t="s">
        <v>727</v>
      </c>
      <c r="E13" s="2" t="s">
        <v>17</v>
      </c>
      <c r="F13" s="2" t="s">
        <v>708</v>
      </c>
      <c r="G13" s="2" t="s">
        <v>728</v>
      </c>
      <c r="H13" s="2" t="s">
        <v>729</v>
      </c>
      <c r="I13" s="2" t="s">
        <v>711</v>
      </c>
      <c r="J13" s="2" t="s">
        <v>697</v>
      </c>
    </row>
    <row r="14" spans="1:10" ht="40" customHeight="1">
      <c r="A14" s="2" t="s">
        <v>730</v>
      </c>
      <c r="B14" s="2" t="s">
        <v>731</v>
      </c>
      <c r="C14" s="4" t="s">
        <v>732</v>
      </c>
      <c r="D14" s="2" t="s">
        <v>727</v>
      </c>
      <c r="E14" s="2" t="s">
        <v>268</v>
      </c>
      <c r="F14" s="2" t="s">
        <v>708</v>
      </c>
      <c r="G14" s="2" t="s">
        <v>733</v>
      </c>
      <c r="H14" s="2" t="s">
        <v>729</v>
      </c>
      <c r="I14" s="2" t="s">
        <v>711</v>
      </c>
      <c r="J14" s="2" t="s">
        <v>697</v>
      </c>
    </row>
    <row r="15" spans="1:10" ht="40" customHeight="1">
      <c r="A15" s="2" t="s">
        <v>734</v>
      </c>
      <c r="B15" s="2" t="s">
        <v>735</v>
      </c>
      <c r="C15" s="4" t="s">
        <v>736</v>
      </c>
      <c r="D15" s="2" t="s">
        <v>737</v>
      </c>
      <c r="E15" s="2" t="s">
        <v>494</v>
      </c>
      <c r="F15" s="2" t="s">
        <v>738</v>
      </c>
      <c r="G15" s="2" t="s">
        <v>739</v>
      </c>
      <c r="H15" s="2" t="s">
        <v>718</v>
      </c>
      <c r="I15" s="2" t="s">
        <v>711</v>
      </c>
      <c r="J15" s="2" t="s">
        <v>697</v>
      </c>
    </row>
    <row r="16" spans="1:10" ht="40" customHeight="1">
      <c r="A16" s="2" t="s">
        <v>740</v>
      </c>
      <c r="B16" s="2" t="s">
        <v>741</v>
      </c>
      <c r="C16" s="4" t="s">
        <v>742</v>
      </c>
      <c r="D16" s="2" t="s">
        <v>737</v>
      </c>
      <c r="E16" s="2" t="s">
        <v>494</v>
      </c>
      <c r="F16" s="2" t="s">
        <v>743</v>
      </c>
      <c r="G16" s="2" t="s">
        <v>744</v>
      </c>
      <c r="H16" s="2" t="s">
        <v>718</v>
      </c>
      <c r="I16" s="2" t="s">
        <v>711</v>
      </c>
      <c r="J16" s="2" t="s">
        <v>697</v>
      </c>
    </row>
    <row r="17" spans="1:10" ht="54" customHeight="1">
      <c r="A17" s="2" t="s">
        <v>745</v>
      </c>
      <c r="B17" s="2" t="s">
        <v>746</v>
      </c>
      <c r="C17" s="4" t="s">
        <v>747</v>
      </c>
      <c r="D17" s="2" t="s">
        <v>727</v>
      </c>
      <c r="E17" s="2" t="s">
        <v>494</v>
      </c>
      <c r="F17" s="2" t="s">
        <v>748</v>
      </c>
      <c r="G17" s="2" t="s">
        <v>749</v>
      </c>
      <c r="H17" s="2" t="s">
        <v>750</v>
      </c>
      <c r="I17" s="2" t="s">
        <v>711</v>
      </c>
      <c r="J17" s="2" t="s">
        <v>697</v>
      </c>
    </row>
    <row r="18" spans="1:10" ht="54" customHeight="1">
      <c r="A18" s="2" t="s">
        <v>751</v>
      </c>
      <c r="B18" s="2" t="s">
        <v>752</v>
      </c>
      <c r="C18" s="4" t="s">
        <v>753</v>
      </c>
      <c r="D18" s="2" t="s">
        <v>754</v>
      </c>
      <c r="E18" s="2" t="s">
        <v>268</v>
      </c>
      <c r="F18" s="2" t="s">
        <v>755</v>
      </c>
      <c r="G18" s="2" t="s">
        <v>756</v>
      </c>
      <c r="H18" s="2" t="s">
        <v>757</v>
      </c>
      <c r="I18" s="2" t="s">
        <v>758</v>
      </c>
      <c r="J18" s="2" t="s">
        <v>697</v>
      </c>
    </row>
    <row r="19" spans="1:10" ht="40" customHeight="1">
      <c r="A19" s="2" t="s">
        <v>759</v>
      </c>
      <c r="B19" s="2" t="s">
        <v>760</v>
      </c>
      <c r="C19" s="4">
        <v>1</v>
      </c>
      <c r="D19" s="2" t="s">
        <v>761</v>
      </c>
      <c r="E19" s="2" t="s">
        <v>268</v>
      </c>
      <c r="F19" s="2" t="s">
        <v>762</v>
      </c>
      <c r="G19" s="2" t="s">
        <v>763</v>
      </c>
      <c r="H19" s="2" t="s">
        <v>764</v>
      </c>
      <c r="I19" s="2" t="s">
        <v>765</v>
      </c>
      <c r="J19" s="2" t="s">
        <v>697</v>
      </c>
    </row>
    <row r="20" spans="1:10" ht="40" customHeight="1">
      <c r="A20" s="2" t="s">
        <v>766</v>
      </c>
      <c r="B20" s="2" t="s">
        <v>767</v>
      </c>
      <c r="C20" s="4" t="s">
        <v>768</v>
      </c>
      <c r="D20" s="2" t="s">
        <v>737</v>
      </c>
      <c r="E20" s="2" t="s">
        <v>494</v>
      </c>
      <c r="F20" s="2" t="s">
        <v>163</v>
      </c>
      <c r="G20" s="2" t="s">
        <v>769</v>
      </c>
      <c r="H20" s="2" t="s">
        <v>770</v>
      </c>
      <c r="I20" s="2" t="s">
        <v>771</v>
      </c>
      <c r="J20" s="2" t="s">
        <v>697</v>
      </c>
    </row>
    <row r="21" spans="1:10" ht="40" customHeight="1">
      <c r="A21" s="2" t="s">
        <v>772</v>
      </c>
      <c r="B21" s="2" t="s">
        <v>773</v>
      </c>
      <c r="C21" s="4" t="s">
        <v>774</v>
      </c>
      <c r="D21" s="2" t="s">
        <v>775</v>
      </c>
      <c r="E21" s="2" t="s">
        <v>494</v>
      </c>
      <c r="F21" s="2" t="s">
        <v>708</v>
      </c>
      <c r="G21" s="2" t="s">
        <v>776</v>
      </c>
      <c r="H21" s="2" t="s">
        <v>777</v>
      </c>
      <c r="I21" s="2" t="s">
        <v>778</v>
      </c>
      <c r="J21" s="2" t="s">
        <v>697</v>
      </c>
    </row>
    <row r="22" spans="1:10" ht="40" customHeight="1">
      <c r="A22" s="2" t="s">
        <v>779</v>
      </c>
      <c r="B22" s="2" t="s">
        <v>780</v>
      </c>
      <c r="C22" s="4" t="s">
        <v>781</v>
      </c>
      <c r="D22" s="2" t="s">
        <v>782</v>
      </c>
      <c r="E22" s="2" t="s">
        <v>494</v>
      </c>
      <c r="F22" s="2" t="s">
        <v>708</v>
      </c>
      <c r="G22" s="2" t="s">
        <v>783</v>
      </c>
      <c r="H22" s="2" t="s">
        <v>784</v>
      </c>
      <c r="I22" s="2" t="s">
        <v>758</v>
      </c>
      <c r="J22" s="2" t="s">
        <v>697</v>
      </c>
    </row>
    <row r="23" spans="1:10" ht="40" customHeight="1">
      <c r="A23" s="2" t="s">
        <v>785</v>
      </c>
      <c r="B23" s="2" t="s">
        <v>786</v>
      </c>
      <c r="C23" s="4" t="s">
        <v>787</v>
      </c>
      <c r="D23" s="2" t="s">
        <v>788</v>
      </c>
      <c r="E23" s="2" t="s">
        <v>494</v>
      </c>
      <c r="F23" s="2" t="s">
        <v>708</v>
      </c>
      <c r="G23" s="2" t="s">
        <v>789</v>
      </c>
      <c r="H23" s="2" t="s">
        <v>790</v>
      </c>
      <c r="I23" s="2" t="s">
        <v>791</v>
      </c>
      <c r="J23" s="2" t="s">
        <v>697</v>
      </c>
    </row>
    <row r="24" spans="1:10" ht="54" customHeight="1">
      <c r="A24" s="2" t="s">
        <v>792</v>
      </c>
      <c r="B24" s="2" t="s">
        <v>793</v>
      </c>
      <c r="C24" s="4" t="s">
        <v>794</v>
      </c>
      <c r="D24" s="2" t="s">
        <v>795</v>
      </c>
      <c r="E24" s="2" t="s">
        <v>494</v>
      </c>
      <c r="F24" s="2" t="s">
        <v>708</v>
      </c>
      <c r="G24" s="2" t="s">
        <v>796</v>
      </c>
      <c r="H24" s="2" t="s">
        <v>718</v>
      </c>
      <c r="I24" s="2" t="s">
        <v>797</v>
      </c>
      <c r="J24" s="2" t="s">
        <v>798</v>
      </c>
    </row>
    <row r="25" spans="1:10" ht="54" customHeight="1">
      <c r="A25" s="2" t="s">
        <v>799</v>
      </c>
      <c r="B25" s="2" t="s">
        <v>800</v>
      </c>
      <c r="C25" s="4" t="s">
        <v>801</v>
      </c>
      <c r="D25" s="2" t="s">
        <v>802</v>
      </c>
      <c r="E25" s="2" t="s">
        <v>494</v>
      </c>
      <c r="F25" s="2" t="s">
        <v>708</v>
      </c>
      <c r="G25" s="2" t="s">
        <v>803</v>
      </c>
      <c r="H25" s="2" t="s">
        <v>804</v>
      </c>
      <c r="I25" s="2" t="s">
        <v>711</v>
      </c>
      <c r="J25" s="2" t="s">
        <v>697</v>
      </c>
    </row>
    <row r="26" spans="1:10" ht="54" customHeight="1">
      <c r="A26" s="2" t="s">
        <v>805</v>
      </c>
      <c r="B26" s="2" t="s">
        <v>806</v>
      </c>
      <c r="C26" s="4" t="s">
        <v>807</v>
      </c>
      <c r="D26" s="2" t="s">
        <v>802</v>
      </c>
      <c r="E26" s="2" t="s">
        <v>494</v>
      </c>
      <c r="F26" s="2" t="s">
        <v>708</v>
      </c>
      <c r="G26" s="2" t="s">
        <v>808</v>
      </c>
      <c r="H26" s="2" t="s">
        <v>804</v>
      </c>
      <c r="I26" s="2" t="s">
        <v>711</v>
      </c>
      <c r="J26" s="2" t="s">
        <v>697</v>
      </c>
    </row>
    <row r="27" spans="1:10" ht="54" customHeight="1">
      <c r="A27" s="2" t="s">
        <v>809</v>
      </c>
      <c r="B27" s="2" t="s">
        <v>810</v>
      </c>
      <c r="C27" s="4" t="s">
        <v>811</v>
      </c>
      <c r="D27" s="2" t="s">
        <v>727</v>
      </c>
      <c r="E27" s="2" t="s">
        <v>17</v>
      </c>
      <c r="F27" s="2" t="s">
        <v>748</v>
      </c>
      <c r="G27" s="2" t="s">
        <v>812</v>
      </c>
      <c r="H27" s="2" t="s">
        <v>813</v>
      </c>
      <c r="I27" s="2" t="s">
        <v>711</v>
      </c>
      <c r="J27" s="2" t="s">
        <v>697</v>
      </c>
    </row>
    <row r="28" spans="1:10" ht="54" customHeight="1">
      <c r="A28" s="2" t="s">
        <v>814</v>
      </c>
      <c r="B28" s="2" t="s">
        <v>815</v>
      </c>
      <c r="C28" s="4" t="s">
        <v>816</v>
      </c>
      <c r="D28" s="2" t="s">
        <v>727</v>
      </c>
      <c r="E28" s="2" t="s">
        <v>494</v>
      </c>
      <c r="F28" s="2" t="s">
        <v>559</v>
      </c>
      <c r="G28" s="2" t="s">
        <v>817</v>
      </c>
      <c r="H28" s="2" t="s">
        <v>818</v>
      </c>
      <c r="I28" s="2" t="s">
        <v>711</v>
      </c>
      <c r="J28" s="2" t="s">
        <v>697</v>
      </c>
    </row>
    <row r="29" spans="1:10" ht="40" customHeight="1">
      <c r="A29" s="2" t="s">
        <v>819</v>
      </c>
      <c r="B29" s="2" t="s">
        <v>820</v>
      </c>
      <c r="C29" s="4" t="s">
        <v>821</v>
      </c>
      <c r="D29" s="2" t="s">
        <v>567</v>
      </c>
      <c r="E29" s="2" t="s">
        <v>494</v>
      </c>
      <c r="F29" s="2" t="s">
        <v>708</v>
      </c>
      <c r="G29" s="2" t="s">
        <v>822</v>
      </c>
      <c r="H29" s="2" t="s">
        <v>804</v>
      </c>
      <c r="I29" s="2" t="s">
        <v>711</v>
      </c>
      <c r="J29" s="2" t="s">
        <v>697</v>
      </c>
    </row>
    <row r="30" spans="1:10" ht="169.75">
      <c r="A30" s="2" t="s">
        <v>823</v>
      </c>
      <c r="B30" s="2" t="s">
        <v>824</v>
      </c>
      <c r="C30" s="2" t="s">
        <v>825</v>
      </c>
      <c r="D30" s="2" t="s">
        <v>737</v>
      </c>
      <c r="E30" s="2" t="s">
        <v>494</v>
      </c>
      <c r="F30" s="2" t="s">
        <v>826</v>
      </c>
      <c r="G30" s="2" t="s">
        <v>827</v>
      </c>
      <c r="H30" s="2" t="s">
        <v>828</v>
      </c>
      <c r="I30" s="2" t="s">
        <v>711</v>
      </c>
      <c r="J30" s="2" t="s">
        <v>697</v>
      </c>
    </row>
    <row r="31" spans="1:10">
      <c r="A31" s="123" t="s">
        <v>829</v>
      </c>
      <c r="B31" s="123"/>
      <c r="C31" s="123"/>
      <c r="D31" s="123"/>
      <c r="E31" s="123"/>
      <c r="F31" s="123"/>
      <c r="G31" s="123"/>
      <c r="H31" s="123"/>
      <c r="I31" s="123"/>
      <c r="J31" s="123"/>
    </row>
    <row r="32" spans="1:10" ht="44.05" customHeight="1">
      <c r="A32" s="124" t="s">
        <v>830</v>
      </c>
      <c r="B32" s="124"/>
      <c r="C32" s="124"/>
      <c r="D32" s="124"/>
      <c r="E32" s="124"/>
      <c r="F32" s="124"/>
      <c r="G32" s="124"/>
      <c r="H32" s="124"/>
      <c r="I32" s="124"/>
      <c r="J32" s="124"/>
    </row>
    <row r="33" spans="1:10">
      <c r="A33" s="1" t="s">
        <v>831</v>
      </c>
      <c r="B33" s="1" t="s">
        <v>1</v>
      </c>
      <c r="C33" s="1" t="s">
        <v>832</v>
      </c>
      <c r="D33" s="1" t="s">
        <v>833</v>
      </c>
      <c r="E33" s="1" t="s">
        <v>834</v>
      </c>
      <c r="F33" s="1" t="s">
        <v>835</v>
      </c>
      <c r="G33" s="1" t="s">
        <v>836</v>
      </c>
      <c r="H33" s="1" t="s">
        <v>837</v>
      </c>
      <c r="I33" s="1" t="s">
        <v>838</v>
      </c>
      <c r="J33" s="2"/>
    </row>
    <row r="34" spans="1:10" ht="64" customHeight="1">
      <c r="A34" s="2" t="s">
        <v>839</v>
      </c>
      <c r="B34" s="2" t="s">
        <v>17</v>
      </c>
      <c r="C34" s="2" t="s">
        <v>840</v>
      </c>
      <c r="D34" s="2" t="s">
        <v>841</v>
      </c>
      <c r="E34" s="2" t="s">
        <v>842</v>
      </c>
      <c r="F34" s="2" t="s">
        <v>843</v>
      </c>
      <c r="G34" s="2" t="s">
        <v>844</v>
      </c>
      <c r="H34" s="2" t="s">
        <v>845</v>
      </c>
      <c r="I34" s="2" t="s">
        <v>846</v>
      </c>
      <c r="J34" s="2"/>
    </row>
    <row r="35" spans="1:10" ht="64" customHeight="1">
      <c r="A35" s="2" t="s">
        <v>847</v>
      </c>
      <c r="B35" s="2" t="s">
        <v>17</v>
      </c>
      <c r="C35" s="2" t="s">
        <v>848</v>
      </c>
      <c r="D35" s="2" t="s">
        <v>849</v>
      </c>
      <c r="E35" s="2" t="s">
        <v>842</v>
      </c>
      <c r="F35" s="2" t="s">
        <v>843</v>
      </c>
      <c r="G35" s="2" t="s">
        <v>844</v>
      </c>
      <c r="H35" s="2" t="s">
        <v>845</v>
      </c>
      <c r="I35" s="2" t="s">
        <v>846</v>
      </c>
      <c r="J35" s="2"/>
    </row>
    <row r="36" spans="1:10" ht="64" customHeight="1">
      <c r="A36" s="2" t="s">
        <v>850</v>
      </c>
      <c r="B36" s="2" t="s">
        <v>17</v>
      </c>
      <c r="C36" s="2" t="s">
        <v>851</v>
      </c>
      <c r="D36" s="2" t="s">
        <v>852</v>
      </c>
      <c r="E36" s="2" t="s">
        <v>853</v>
      </c>
      <c r="F36" s="2" t="s">
        <v>843</v>
      </c>
      <c r="G36" s="2" t="s">
        <v>844</v>
      </c>
      <c r="H36" s="2" t="s">
        <v>845</v>
      </c>
      <c r="I36" s="2" t="s">
        <v>846</v>
      </c>
      <c r="J36" s="2"/>
    </row>
    <row r="37" spans="1:10" ht="64" customHeight="1">
      <c r="A37" s="2" t="s">
        <v>854</v>
      </c>
      <c r="B37" s="2" t="s">
        <v>17</v>
      </c>
      <c r="C37" s="2" t="s">
        <v>855</v>
      </c>
      <c r="D37" s="2" t="s">
        <v>856</v>
      </c>
      <c r="E37" s="2" t="s">
        <v>857</v>
      </c>
      <c r="F37" s="2" t="s">
        <v>843</v>
      </c>
      <c r="G37" s="2" t="s">
        <v>844</v>
      </c>
      <c r="H37" s="2" t="s">
        <v>845</v>
      </c>
      <c r="I37" s="2" t="s">
        <v>846</v>
      </c>
      <c r="J37" s="2"/>
    </row>
    <row r="38" spans="1:10" ht="64" customHeight="1">
      <c r="A38" s="2" t="s">
        <v>858</v>
      </c>
      <c r="B38" s="2" t="s">
        <v>17</v>
      </c>
      <c r="C38" s="2" t="s">
        <v>859</v>
      </c>
      <c r="D38" s="2" t="s">
        <v>860</v>
      </c>
      <c r="E38" s="2" t="s">
        <v>853</v>
      </c>
      <c r="F38" s="2" t="s">
        <v>843</v>
      </c>
      <c r="G38" s="2" t="s">
        <v>844</v>
      </c>
      <c r="H38" s="2" t="s">
        <v>845</v>
      </c>
      <c r="I38" s="2" t="s">
        <v>846</v>
      </c>
      <c r="J38" s="2"/>
    </row>
    <row r="39" spans="1:10" ht="64" customHeight="1">
      <c r="A39" s="2" t="s">
        <v>861</v>
      </c>
      <c r="B39" s="2" t="s">
        <v>17</v>
      </c>
      <c r="C39" s="2" t="s">
        <v>862</v>
      </c>
      <c r="D39" s="2" t="s">
        <v>863</v>
      </c>
      <c r="E39" s="2" t="s">
        <v>842</v>
      </c>
      <c r="F39" s="2" t="s">
        <v>843</v>
      </c>
      <c r="G39" s="2" t="s">
        <v>844</v>
      </c>
      <c r="H39" s="2" t="s">
        <v>845</v>
      </c>
      <c r="I39" s="2" t="s">
        <v>846</v>
      </c>
      <c r="J39" s="2"/>
    </row>
    <row r="40" spans="1:10" ht="64" customHeight="1">
      <c r="A40" s="2" t="s">
        <v>864</v>
      </c>
      <c r="B40" s="2" t="s">
        <v>268</v>
      </c>
      <c r="C40" s="2" t="s">
        <v>840</v>
      </c>
      <c r="D40" s="2" t="s">
        <v>841</v>
      </c>
      <c r="E40" s="2" t="s">
        <v>842</v>
      </c>
      <c r="F40" s="2" t="s">
        <v>843</v>
      </c>
      <c r="G40" s="2" t="s">
        <v>844</v>
      </c>
      <c r="H40" s="2" t="s">
        <v>845</v>
      </c>
      <c r="I40" s="2" t="s">
        <v>846</v>
      </c>
      <c r="J40" s="2"/>
    </row>
    <row r="41" spans="1:10" ht="64" customHeight="1">
      <c r="A41" s="2" t="s">
        <v>865</v>
      </c>
      <c r="B41" s="2" t="s">
        <v>268</v>
      </c>
      <c r="C41" s="2" t="s">
        <v>848</v>
      </c>
      <c r="D41" s="2" t="s">
        <v>849</v>
      </c>
      <c r="E41" s="2" t="s">
        <v>842</v>
      </c>
      <c r="F41" s="2" t="s">
        <v>843</v>
      </c>
      <c r="G41" s="2" t="s">
        <v>844</v>
      </c>
      <c r="H41" s="2" t="s">
        <v>845</v>
      </c>
      <c r="I41" s="2" t="s">
        <v>846</v>
      </c>
      <c r="J41" s="2"/>
    </row>
    <row r="42" spans="1:10" ht="64" customHeight="1">
      <c r="A42" s="2" t="s">
        <v>866</v>
      </c>
      <c r="B42" s="2" t="s">
        <v>268</v>
      </c>
      <c r="C42" s="2" t="s">
        <v>851</v>
      </c>
      <c r="D42" s="2" t="s">
        <v>852</v>
      </c>
      <c r="E42" s="2" t="s">
        <v>853</v>
      </c>
      <c r="F42" s="2" t="s">
        <v>843</v>
      </c>
      <c r="G42" s="2" t="s">
        <v>844</v>
      </c>
      <c r="H42" s="2" t="s">
        <v>845</v>
      </c>
      <c r="I42" s="2" t="s">
        <v>846</v>
      </c>
      <c r="J42" s="2"/>
    </row>
    <row r="43" spans="1:10" ht="64" customHeight="1">
      <c r="A43" s="2" t="s">
        <v>867</v>
      </c>
      <c r="B43" s="2" t="s">
        <v>268</v>
      </c>
      <c r="C43" s="2" t="s">
        <v>855</v>
      </c>
      <c r="D43" s="2" t="s">
        <v>856</v>
      </c>
      <c r="E43" s="2" t="s">
        <v>857</v>
      </c>
      <c r="F43" s="2" t="s">
        <v>843</v>
      </c>
      <c r="G43" s="2" t="s">
        <v>844</v>
      </c>
      <c r="H43" s="2" t="s">
        <v>845</v>
      </c>
      <c r="I43" s="2" t="s">
        <v>846</v>
      </c>
      <c r="J43" s="2"/>
    </row>
    <row r="44" spans="1:10" ht="64" customHeight="1">
      <c r="A44" s="2" t="s">
        <v>868</v>
      </c>
      <c r="B44" s="2" t="s">
        <v>268</v>
      </c>
      <c r="C44" s="2" t="s">
        <v>859</v>
      </c>
      <c r="D44" s="2" t="s">
        <v>860</v>
      </c>
      <c r="E44" s="2" t="s">
        <v>853</v>
      </c>
      <c r="F44" s="2" t="s">
        <v>843</v>
      </c>
      <c r="G44" s="2" t="s">
        <v>844</v>
      </c>
      <c r="H44" s="2" t="s">
        <v>845</v>
      </c>
      <c r="I44" s="2" t="s">
        <v>846</v>
      </c>
      <c r="J44" s="2"/>
    </row>
    <row r="45" spans="1:10" ht="64" customHeight="1">
      <c r="A45" s="2" t="s">
        <v>869</v>
      </c>
      <c r="B45" s="2" t="s">
        <v>268</v>
      </c>
      <c r="C45" s="2" t="s">
        <v>862</v>
      </c>
      <c r="D45" s="2" t="s">
        <v>863</v>
      </c>
      <c r="E45" s="2" t="s">
        <v>842</v>
      </c>
      <c r="F45" s="2" t="s">
        <v>843</v>
      </c>
      <c r="G45" s="2" t="s">
        <v>844</v>
      </c>
      <c r="H45" s="2" t="s">
        <v>845</v>
      </c>
      <c r="I45" s="2" t="s">
        <v>846</v>
      </c>
      <c r="J45" s="2"/>
    </row>
    <row r="46" spans="1:10" ht="64" customHeight="1">
      <c r="A46" s="2" t="s">
        <v>870</v>
      </c>
      <c r="B46" s="2" t="s">
        <v>17</v>
      </c>
      <c r="C46" s="2" t="s">
        <v>871</v>
      </c>
      <c r="D46" s="2" t="s">
        <v>872</v>
      </c>
      <c r="E46" s="2" t="s">
        <v>857</v>
      </c>
      <c r="F46" s="2" t="s">
        <v>843</v>
      </c>
      <c r="G46" s="2" t="s">
        <v>873</v>
      </c>
      <c r="H46" s="2" t="s">
        <v>874</v>
      </c>
      <c r="I46" s="2" t="s">
        <v>875</v>
      </c>
      <c r="J46" s="2"/>
    </row>
    <row r="47" spans="1:10" ht="64" customHeight="1">
      <c r="A47" s="2" t="s">
        <v>876</v>
      </c>
      <c r="B47" s="2" t="s">
        <v>17</v>
      </c>
      <c r="C47" s="2" t="s">
        <v>877</v>
      </c>
      <c r="D47" s="2" t="s">
        <v>878</v>
      </c>
      <c r="E47" s="2" t="s">
        <v>842</v>
      </c>
      <c r="F47" s="2" t="s">
        <v>879</v>
      </c>
      <c r="G47" s="2" t="s">
        <v>873</v>
      </c>
      <c r="H47" s="2" t="s">
        <v>874</v>
      </c>
      <c r="I47" s="2" t="s">
        <v>875</v>
      </c>
      <c r="J47" s="2"/>
    </row>
    <row r="48" spans="1:10" ht="64" customHeight="1">
      <c r="A48" s="2" t="s">
        <v>880</v>
      </c>
      <c r="B48" s="2" t="s">
        <v>17</v>
      </c>
      <c r="C48" s="2" t="s">
        <v>881</v>
      </c>
      <c r="D48" s="2" t="s">
        <v>882</v>
      </c>
      <c r="E48" s="2" t="s">
        <v>883</v>
      </c>
      <c r="F48" s="2" t="s">
        <v>879</v>
      </c>
      <c r="G48" s="2" t="s">
        <v>873</v>
      </c>
      <c r="H48" s="2" t="s">
        <v>874</v>
      </c>
      <c r="I48" s="2" t="s">
        <v>875</v>
      </c>
      <c r="J48" s="2"/>
    </row>
    <row r="49" spans="1:10" ht="64" customHeight="1">
      <c r="A49" s="2" t="s">
        <v>884</v>
      </c>
      <c r="B49" s="2" t="s">
        <v>17</v>
      </c>
      <c r="C49" s="2" t="s">
        <v>885</v>
      </c>
      <c r="D49" s="2" t="s">
        <v>886</v>
      </c>
      <c r="E49" s="2" t="s">
        <v>887</v>
      </c>
      <c r="F49" s="2" t="s">
        <v>879</v>
      </c>
      <c r="G49" s="2" t="s">
        <v>873</v>
      </c>
      <c r="H49" s="2" t="s">
        <v>874</v>
      </c>
      <c r="I49" s="2" t="s">
        <v>875</v>
      </c>
      <c r="J49" s="2"/>
    </row>
    <row r="50" spans="1:10" ht="64" customHeight="1">
      <c r="A50" s="2" t="s">
        <v>888</v>
      </c>
      <c r="B50" s="2" t="s">
        <v>268</v>
      </c>
      <c r="C50" s="2" t="s">
        <v>871</v>
      </c>
      <c r="D50" s="2" t="s">
        <v>872</v>
      </c>
      <c r="E50" s="2" t="s">
        <v>857</v>
      </c>
      <c r="F50" s="2" t="s">
        <v>843</v>
      </c>
      <c r="G50" s="2" t="s">
        <v>889</v>
      </c>
      <c r="H50" s="2" t="s">
        <v>890</v>
      </c>
      <c r="I50" s="2" t="s">
        <v>891</v>
      </c>
      <c r="J50" s="2"/>
    </row>
    <row r="51" spans="1:10" ht="64" customHeight="1">
      <c r="A51" s="2" t="s">
        <v>892</v>
      </c>
      <c r="B51" s="2" t="s">
        <v>268</v>
      </c>
      <c r="C51" s="2" t="s">
        <v>893</v>
      </c>
      <c r="D51" s="2" t="s">
        <v>894</v>
      </c>
      <c r="E51" s="2" t="s">
        <v>895</v>
      </c>
      <c r="F51" s="2" t="s">
        <v>896</v>
      </c>
      <c r="G51" s="2" t="s">
        <v>889</v>
      </c>
      <c r="H51" s="2" t="s">
        <v>890</v>
      </c>
      <c r="I51" s="2" t="s">
        <v>891</v>
      </c>
      <c r="J51" s="2"/>
    </row>
    <row r="52" spans="1:10" ht="64" customHeight="1">
      <c r="A52" s="2" t="s">
        <v>897</v>
      </c>
      <c r="B52" s="2" t="s">
        <v>17</v>
      </c>
      <c r="C52" s="2" t="s">
        <v>898</v>
      </c>
      <c r="D52" s="2" t="s">
        <v>899</v>
      </c>
      <c r="E52" s="2" t="s">
        <v>900</v>
      </c>
      <c r="F52" s="2" t="s">
        <v>879</v>
      </c>
      <c r="G52" s="2" t="s">
        <v>901</v>
      </c>
      <c r="H52" s="2" t="s">
        <v>902</v>
      </c>
      <c r="I52" s="2" t="s">
        <v>903</v>
      </c>
      <c r="J52" s="2"/>
    </row>
    <row r="53" spans="1:10" ht="64" customHeight="1">
      <c r="A53" s="2" t="s">
        <v>904</v>
      </c>
      <c r="B53" s="2" t="s">
        <v>17</v>
      </c>
      <c r="C53" s="2" t="s">
        <v>905</v>
      </c>
      <c r="D53" s="2" t="s">
        <v>906</v>
      </c>
      <c r="E53" s="2" t="s">
        <v>907</v>
      </c>
      <c r="F53" s="2" t="s">
        <v>843</v>
      </c>
      <c r="G53" s="2" t="s">
        <v>901</v>
      </c>
      <c r="H53" s="2" t="s">
        <v>902</v>
      </c>
      <c r="I53" s="2" t="s">
        <v>903</v>
      </c>
      <c r="J53" s="2"/>
    </row>
    <row r="54" spans="1:10" ht="64" customHeight="1">
      <c r="A54" s="2" t="s">
        <v>908</v>
      </c>
      <c r="B54" s="2" t="s">
        <v>268</v>
      </c>
      <c r="C54" s="2" t="s">
        <v>905</v>
      </c>
      <c r="D54" s="2" t="s">
        <v>906</v>
      </c>
      <c r="E54" s="2" t="s">
        <v>907</v>
      </c>
      <c r="F54" s="2" t="s">
        <v>843</v>
      </c>
      <c r="G54" s="2" t="s">
        <v>901</v>
      </c>
      <c r="H54" s="2" t="s">
        <v>902</v>
      </c>
      <c r="I54" s="2" t="s">
        <v>903</v>
      </c>
      <c r="J54" s="2"/>
    </row>
    <row r="55" spans="1:10" ht="64" customHeight="1">
      <c r="A55" s="2" t="s">
        <v>909</v>
      </c>
      <c r="B55" s="2" t="s">
        <v>17</v>
      </c>
      <c r="C55" s="2" t="s">
        <v>910</v>
      </c>
      <c r="D55" s="2" t="s">
        <v>911</v>
      </c>
      <c r="E55" s="2" t="s">
        <v>912</v>
      </c>
      <c r="F55" s="2" t="s">
        <v>913</v>
      </c>
      <c r="G55" s="2" t="s">
        <v>914</v>
      </c>
      <c r="H55" s="2" t="s">
        <v>915</v>
      </c>
      <c r="I55" s="2" t="s">
        <v>916</v>
      </c>
      <c r="J55" s="2"/>
    </row>
    <row r="56" spans="1:10" ht="64" customHeight="1">
      <c r="A56" s="2" t="s">
        <v>917</v>
      </c>
      <c r="B56" s="2" t="s">
        <v>17</v>
      </c>
      <c r="C56" s="2" t="s">
        <v>910</v>
      </c>
      <c r="D56" s="2" t="s">
        <v>918</v>
      </c>
      <c r="E56" s="2" t="s">
        <v>912</v>
      </c>
      <c r="F56" s="2" t="s">
        <v>913</v>
      </c>
      <c r="G56" s="2" t="s">
        <v>914</v>
      </c>
      <c r="H56" s="2" t="s">
        <v>915</v>
      </c>
      <c r="I56" s="2" t="s">
        <v>916</v>
      </c>
      <c r="J56" s="2"/>
    </row>
    <row r="57" spans="1:10" ht="64" customHeight="1">
      <c r="A57" s="2" t="s">
        <v>919</v>
      </c>
      <c r="B57" s="2" t="s">
        <v>17</v>
      </c>
      <c r="C57" s="2" t="s">
        <v>910</v>
      </c>
      <c r="D57" s="2" t="s">
        <v>920</v>
      </c>
      <c r="E57" s="2" t="s">
        <v>912</v>
      </c>
      <c r="F57" s="2" t="s">
        <v>913</v>
      </c>
      <c r="G57" s="2" t="s">
        <v>914</v>
      </c>
      <c r="H57" s="2" t="s">
        <v>915</v>
      </c>
      <c r="I57" s="2" t="s">
        <v>916</v>
      </c>
      <c r="J57" s="2"/>
    </row>
    <row r="58" spans="1:10" ht="64" customHeight="1">
      <c r="A58" s="2" t="s">
        <v>921</v>
      </c>
      <c r="B58" s="2" t="s">
        <v>17</v>
      </c>
      <c r="C58" s="2" t="s">
        <v>910</v>
      </c>
      <c r="D58" s="2" t="s">
        <v>922</v>
      </c>
      <c r="E58" s="2" t="s">
        <v>912</v>
      </c>
      <c r="F58" s="2" t="s">
        <v>913</v>
      </c>
      <c r="G58" s="2" t="s">
        <v>914</v>
      </c>
      <c r="H58" s="2" t="s">
        <v>915</v>
      </c>
      <c r="I58" s="2" t="s">
        <v>916</v>
      </c>
      <c r="J58" s="2"/>
    </row>
    <row r="59" spans="1:10" ht="64" customHeight="1">
      <c r="A59" s="2" t="s">
        <v>923</v>
      </c>
      <c r="B59" s="2" t="s">
        <v>17</v>
      </c>
      <c r="C59" s="2" t="s">
        <v>910</v>
      </c>
      <c r="D59" s="2" t="s">
        <v>924</v>
      </c>
      <c r="E59" s="2" t="s">
        <v>912</v>
      </c>
      <c r="F59" s="2" t="s">
        <v>925</v>
      </c>
      <c r="G59" s="2" t="s">
        <v>914</v>
      </c>
      <c r="H59" s="2" t="s">
        <v>926</v>
      </c>
      <c r="I59" s="2" t="s">
        <v>927</v>
      </c>
      <c r="J59" s="2"/>
    </row>
    <row r="60" spans="1:10" ht="64" customHeight="1">
      <c r="A60" s="2" t="s">
        <v>928</v>
      </c>
      <c r="B60" s="2" t="s">
        <v>17</v>
      </c>
      <c r="C60" s="2" t="s">
        <v>929</v>
      </c>
      <c r="D60" s="2" t="s">
        <v>930</v>
      </c>
      <c r="E60" s="2" t="s">
        <v>900</v>
      </c>
      <c r="F60" s="2" t="s">
        <v>879</v>
      </c>
      <c r="G60" s="2" t="s">
        <v>931</v>
      </c>
      <c r="H60" s="2" t="s">
        <v>932</v>
      </c>
      <c r="I60" s="2" t="s">
        <v>933</v>
      </c>
      <c r="J60" s="2"/>
    </row>
    <row r="61" spans="1:10" ht="64" customHeight="1">
      <c r="A61" s="26" t="s">
        <v>934</v>
      </c>
      <c r="B61" s="26" t="s">
        <v>17</v>
      </c>
      <c r="C61" s="26" t="s">
        <v>935</v>
      </c>
      <c r="D61" s="26" t="s">
        <v>936</v>
      </c>
      <c r="E61" s="26" t="s">
        <v>937</v>
      </c>
      <c r="F61" s="26" t="s">
        <v>938</v>
      </c>
      <c r="G61" s="26" t="s">
        <v>939</v>
      </c>
      <c r="H61" s="26" t="s">
        <v>940</v>
      </c>
      <c r="I61" s="26" t="s">
        <v>941</v>
      </c>
      <c r="J61" s="26"/>
    </row>
    <row r="62" spans="1:10">
      <c r="A62" t="s">
        <v>942</v>
      </c>
      <c r="B62" t="s">
        <v>943</v>
      </c>
      <c r="C62">
        <v>1</v>
      </c>
      <c r="D62" t="s">
        <v>944</v>
      </c>
      <c r="E62" t="s">
        <v>494</v>
      </c>
      <c r="F62" t="s">
        <v>945</v>
      </c>
      <c r="G62" t="s">
        <v>946</v>
      </c>
      <c r="H62" t="s">
        <v>947</v>
      </c>
      <c r="I62" t="s">
        <v>948</v>
      </c>
      <c r="J62" t="s">
        <v>697</v>
      </c>
    </row>
    <row r="63" spans="1:10" ht="56.6">
      <c r="A63" s="33" t="s">
        <v>949</v>
      </c>
      <c r="B63" s="33" t="s">
        <v>950</v>
      </c>
      <c r="C63" s="33">
        <v>30</v>
      </c>
      <c r="D63" s="33" t="s">
        <v>951</v>
      </c>
      <c r="E63" s="33" t="s">
        <v>494</v>
      </c>
      <c r="F63" s="33" t="s">
        <v>559</v>
      </c>
      <c r="G63" s="33" t="s">
        <v>952</v>
      </c>
      <c r="H63" s="33" t="s">
        <v>953</v>
      </c>
      <c r="I63" s="33" t="s">
        <v>954</v>
      </c>
      <c r="J63" s="33" t="s">
        <v>697</v>
      </c>
    </row>
    <row r="64" spans="1:10" ht="56.6">
      <c r="A64" s="33" t="s">
        <v>955</v>
      </c>
      <c r="B64" s="33" t="s">
        <v>956</v>
      </c>
      <c r="C64" s="33">
        <v>15</v>
      </c>
      <c r="D64" s="33" t="s">
        <v>957</v>
      </c>
      <c r="E64" s="33" t="s">
        <v>494</v>
      </c>
      <c r="F64" s="33" t="s">
        <v>559</v>
      </c>
      <c r="G64" s="33" t="s">
        <v>958</v>
      </c>
      <c r="H64" s="33" t="s">
        <v>959</v>
      </c>
      <c r="I64" s="33" t="s">
        <v>960</v>
      </c>
      <c r="J64" s="33" t="s">
        <v>697</v>
      </c>
    </row>
    <row r="65" spans="1:10" ht="56.6">
      <c r="A65" s="33" t="s">
        <v>961</v>
      </c>
      <c r="B65" s="33" t="s">
        <v>962</v>
      </c>
      <c r="C65" s="33">
        <v>15</v>
      </c>
      <c r="D65" s="33" t="s">
        <v>963</v>
      </c>
      <c r="E65" s="33" t="s">
        <v>494</v>
      </c>
      <c r="F65" s="33" t="s">
        <v>964</v>
      </c>
      <c r="G65" s="33" t="s">
        <v>965</v>
      </c>
      <c r="H65" s="33" t="s">
        <v>966</v>
      </c>
      <c r="I65" s="33" t="s">
        <v>954</v>
      </c>
      <c r="J65" s="33" t="s">
        <v>697</v>
      </c>
    </row>
    <row r="66" spans="1:10" ht="70.75">
      <c r="A66" s="33" t="s">
        <v>967</v>
      </c>
      <c r="B66" s="33" t="s">
        <v>968</v>
      </c>
      <c r="C66" s="33">
        <v>30</v>
      </c>
      <c r="D66" s="33" t="s">
        <v>782</v>
      </c>
      <c r="E66" s="33" t="s">
        <v>494</v>
      </c>
      <c r="F66" s="33" t="s">
        <v>969</v>
      </c>
      <c r="G66" s="33" t="s">
        <v>970</v>
      </c>
      <c r="H66" s="33" t="s">
        <v>971</v>
      </c>
      <c r="I66" s="33" t="s">
        <v>972</v>
      </c>
      <c r="J66" s="33" t="s">
        <v>697</v>
      </c>
    </row>
    <row r="67" spans="1:10" ht="42.45">
      <c r="A67" s="33" t="s">
        <v>973</v>
      </c>
      <c r="B67" s="33" t="s">
        <v>974</v>
      </c>
      <c r="C67" s="33">
        <v>60</v>
      </c>
      <c r="D67" s="33" t="s">
        <v>975</v>
      </c>
      <c r="E67" s="33" t="s">
        <v>494</v>
      </c>
      <c r="F67" s="33" t="s">
        <v>964</v>
      </c>
      <c r="G67" s="33" t="s">
        <v>976</v>
      </c>
      <c r="H67" s="33" t="s">
        <v>977</v>
      </c>
      <c r="I67" s="33" t="s">
        <v>954</v>
      </c>
      <c r="J67" s="33" t="s">
        <v>697</v>
      </c>
    </row>
    <row r="68" spans="1:10" ht="28.3">
      <c r="A68" s="33" t="s">
        <v>978</v>
      </c>
      <c r="B68" s="33" t="s">
        <v>260</v>
      </c>
      <c r="C68" s="33">
        <v>60</v>
      </c>
      <c r="D68" s="33" t="s">
        <v>979</v>
      </c>
      <c r="E68" s="33" t="s">
        <v>494</v>
      </c>
      <c r="F68" s="33" t="s">
        <v>260</v>
      </c>
      <c r="G68" s="33" t="s">
        <v>980</v>
      </c>
      <c r="H68" s="33" t="s">
        <v>981</v>
      </c>
      <c r="I68" s="33" t="s">
        <v>982</v>
      </c>
      <c r="J68" s="33" t="s">
        <v>697</v>
      </c>
    </row>
    <row r="69" spans="1:10" ht="42.45">
      <c r="A69" s="33" t="s">
        <v>983</v>
      </c>
      <c r="B69" s="33" t="s">
        <v>984</v>
      </c>
      <c r="C69" s="33" t="s">
        <v>985</v>
      </c>
      <c r="D69" s="33" t="s">
        <v>737</v>
      </c>
      <c r="E69" s="33" t="s">
        <v>268</v>
      </c>
      <c r="F69" s="33" t="s">
        <v>559</v>
      </c>
      <c r="G69" s="33" t="s">
        <v>986</v>
      </c>
      <c r="H69" s="33" t="s">
        <v>987</v>
      </c>
      <c r="I69" s="33" t="s">
        <v>758</v>
      </c>
      <c r="J69" s="33" t="s">
        <v>697</v>
      </c>
    </row>
    <row r="70" spans="1:10" ht="42.45">
      <c r="A70" s="33" t="s">
        <v>988</v>
      </c>
      <c r="B70" s="33" t="s">
        <v>989</v>
      </c>
      <c r="C70" s="33" t="s">
        <v>742</v>
      </c>
      <c r="D70" s="33" t="s">
        <v>990</v>
      </c>
      <c r="E70" s="33" t="s">
        <v>268</v>
      </c>
      <c r="F70" s="33" t="s">
        <v>559</v>
      </c>
      <c r="G70" s="33" t="s">
        <v>991</v>
      </c>
      <c r="H70" s="33" t="s">
        <v>992</v>
      </c>
      <c r="I70" s="33" t="s">
        <v>711</v>
      </c>
      <c r="J70" s="33" t="s">
        <v>697</v>
      </c>
    </row>
    <row r="71" spans="1:10" ht="84.9">
      <c r="A71" s="33" t="s">
        <v>993</v>
      </c>
      <c r="B71" s="33" t="s">
        <v>994</v>
      </c>
      <c r="C71" s="33" t="s">
        <v>995</v>
      </c>
      <c r="D71" s="33" t="s">
        <v>996</v>
      </c>
      <c r="E71" s="33" t="s">
        <v>494</v>
      </c>
      <c r="F71" s="33" t="s">
        <v>708</v>
      </c>
      <c r="G71" s="33" t="s">
        <v>997</v>
      </c>
      <c r="H71" s="33" t="s">
        <v>998</v>
      </c>
      <c r="I71" s="33" t="s">
        <v>711</v>
      </c>
      <c r="J71" s="33" t="s">
        <v>697</v>
      </c>
    </row>
    <row r="72" spans="1:10" ht="42.45">
      <c r="A72" s="33" t="s">
        <v>999</v>
      </c>
      <c r="B72" s="33" t="s">
        <v>1000</v>
      </c>
      <c r="C72" s="33">
        <v>30</v>
      </c>
      <c r="D72" s="33" t="s">
        <v>975</v>
      </c>
      <c r="E72" s="33" t="s">
        <v>268</v>
      </c>
      <c r="F72" s="33" t="s">
        <v>1001</v>
      </c>
      <c r="G72" s="33" t="s">
        <v>1002</v>
      </c>
      <c r="H72" s="33" t="s">
        <v>1003</v>
      </c>
      <c r="I72" s="33" t="s">
        <v>954</v>
      </c>
      <c r="J72" s="33" t="s">
        <v>697</v>
      </c>
    </row>
    <row r="73" spans="1:10" ht="42.45">
      <c r="A73" s="33" t="s">
        <v>1004</v>
      </c>
      <c r="B73" s="33" t="s">
        <v>1005</v>
      </c>
      <c r="C73" s="33">
        <v>30</v>
      </c>
      <c r="D73" s="33" t="s">
        <v>1006</v>
      </c>
      <c r="E73" s="33" t="s">
        <v>268</v>
      </c>
      <c r="F73" s="33" t="s">
        <v>1001</v>
      </c>
      <c r="G73" s="33" t="s">
        <v>1007</v>
      </c>
      <c r="H73" s="33" t="s">
        <v>1008</v>
      </c>
      <c r="I73" s="33" t="s">
        <v>1009</v>
      </c>
      <c r="J73" s="33" t="s">
        <v>697</v>
      </c>
    </row>
    <row r="74" spans="1:10" ht="42.45">
      <c r="A74" s="33" t="s">
        <v>1010</v>
      </c>
      <c r="B74" s="33" t="s">
        <v>1011</v>
      </c>
      <c r="C74" s="33">
        <v>60</v>
      </c>
      <c r="D74" s="33" t="s">
        <v>975</v>
      </c>
      <c r="E74" s="33" t="s">
        <v>268</v>
      </c>
      <c r="F74" s="33" t="s">
        <v>260</v>
      </c>
      <c r="G74" s="33" t="s">
        <v>1012</v>
      </c>
      <c r="H74" s="33" t="s">
        <v>1013</v>
      </c>
      <c r="I74" s="33" t="s">
        <v>954</v>
      </c>
      <c r="J74" s="33" t="s">
        <v>697</v>
      </c>
    </row>
    <row r="75" spans="1:10" ht="28.3">
      <c r="A75" s="33" t="s">
        <v>1014</v>
      </c>
      <c r="B75" s="33" t="s">
        <v>1015</v>
      </c>
      <c r="C75" s="33" t="s">
        <v>1016</v>
      </c>
      <c r="D75" s="33" t="s">
        <v>1017</v>
      </c>
      <c r="E75" s="33" t="s">
        <v>268</v>
      </c>
      <c r="F75" s="33" t="s">
        <v>1001</v>
      </c>
      <c r="G75" s="33" t="s">
        <v>1018</v>
      </c>
      <c r="H75" s="33" t="s">
        <v>1019</v>
      </c>
      <c r="I75" s="33" t="s">
        <v>1020</v>
      </c>
      <c r="J75" s="33" t="s">
        <v>1021</v>
      </c>
    </row>
    <row r="76" spans="1:10" ht="56.6">
      <c r="A76" s="33" t="s">
        <v>1022</v>
      </c>
      <c r="B76" s="33" t="s">
        <v>1023</v>
      </c>
      <c r="C76" s="33" t="s">
        <v>1024</v>
      </c>
      <c r="D76" s="33" t="s">
        <v>1025</v>
      </c>
      <c r="E76" s="33" t="s">
        <v>268</v>
      </c>
      <c r="F76" s="33" t="s">
        <v>1026</v>
      </c>
      <c r="G76" s="33" t="s">
        <v>1027</v>
      </c>
      <c r="H76" s="33" t="s">
        <v>1028</v>
      </c>
      <c r="I76" s="33" t="s">
        <v>1029</v>
      </c>
      <c r="J76" s="33" t="s">
        <v>1021</v>
      </c>
    </row>
    <row r="77" spans="1:10" ht="67.5" customHeight="1">
      <c r="A77" s="33" t="s">
        <v>1916</v>
      </c>
      <c r="B77" s="33" t="s">
        <v>1917</v>
      </c>
      <c r="C77" s="85">
        <v>150</v>
      </c>
      <c r="D77" s="33" t="s">
        <v>1918</v>
      </c>
      <c r="E77" s="33" t="s">
        <v>1919</v>
      </c>
      <c r="F77" s="33" t="s">
        <v>163</v>
      </c>
      <c r="G77" s="33" t="s">
        <v>1920</v>
      </c>
      <c r="H77" s="33" t="s">
        <v>1921</v>
      </c>
      <c r="I77" s="33" t="s">
        <v>1922</v>
      </c>
      <c r="J77" s="33" t="s">
        <v>697</v>
      </c>
    </row>
    <row r="78" spans="1:10" ht="71.25" customHeight="1">
      <c r="A78" s="33" t="s">
        <v>1923</v>
      </c>
      <c r="B78" s="33" t="s">
        <v>1924</v>
      </c>
      <c r="C78" s="85">
        <f>ROUNDUP(SQRT($C$77),0)</f>
        <v>13</v>
      </c>
      <c r="D78" s="33" t="s">
        <v>1925</v>
      </c>
      <c r="E78" s="33" t="s">
        <v>17</v>
      </c>
      <c r="F78" s="33" t="s">
        <v>163</v>
      </c>
      <c r="G78" s="33" t="s">
        <v>1926</v>
      </c>
      <c r="H78" s="33" t="s">
        <v>1927</v>
      </c>
      <c r="I78" s="33" t="s">
        <v>1928</v>
      </c>
      <c r="J78" s="33" t="s">
        <v>697</v>
      </c>
    </row>
    <row r="79" spans="1:10" ht="71.25" customHeight="1">
      <c r="A79" s="33" t="s">
        <v>1929</v>
      </c>
      <c r="B79" s="33" t="s">
        <v>1930</v>
      </c>
      <c r="C79" s="85">
        <f>ROUNDUP($C$77*10%,0)</f>
        <v>15</v>
      </c>
      <c r="D79" s="33" t="s">
        <v>1925</v>
      </c>
      <c r="E79" s="33" t="s">
        <v>268</v>
      </c>
      <c r="F79" s="33" t="s">
        <v>163</v>
      </c>
      <c r="G79" s="33" t="s">
        <v>1931</v>
      </c>
      <c r="H79" s="33" t="s">
        <v>1932</v>
      </c>
      <c r="I79" s="33" t="s">
        <v>1933</v>
      </c>
      <c r="J79" s="33" t="s">
        <v>697</v>
      </c>
    </row>
    <row r="80" spans="1:10" ht="71.25" customHeight="1">
      <c r="A80" s="33" t="s">
        <v>1934</v>
      </c>
      <c r="B80" s="33" t="s">
        <v>1935</v>
      </c>
      <c r="C80" s="85">
        <v>30</v>
      </c>
      <c r="D80" s="33" t="s">
        <v>1936</v>
      </c>
      <c r="E80" s="33" t="s">
        <v>1919</v>
      </c>
      <c r="F80" s="33" t="s">
        <v>163</v>
      </c>
      <c r="G80" s="33" t="s">
        <v>1937</v>
      </c>
      <c r="H80" s="33" t="s">
        <v>1938</v>
      </c>
      <c r="I80" s="33" t="s">
        <v>1939</v>
      </c>
      <c r="J80" s="33" t="s">
        <v>697</v>
      </c>
    </row>
    <row r="81" spans="1:10" ht="71.25" customHeight="1">
      <c r="A81" s="33" t="s">
        <v>1940</v>
      </c>
      <c r="B81" s="33" t="s">
        <v>1941</v>
      </c>
      <c r="C81" s="85">
        <v>15</v>
      </c>
      <c r="D81" s="33" t="s">
        <v>1942</v>
      </c>
      <c r="E81" s="33" t="s">
        <v>1919</v>
      </c>
      <c r="F81" s="33" t="s">
        <v>163</v>
      </c>
      <c r="G81" s="33" t="s">
        <v>1943</v>
      </c>
      <c r="H81" s="33" t="s">
        <v>1944</v>
      </c>
      <c r="I81" s="33" t="s">
        <v>1945</v>
      </c>
      <c r="J81" s="33" t="s">
        <v>697</v>
      </c>
    </row>
    <row r="82" spans="1:10" ht="71.25" customHeight="1">
      <c r="A82" s="33" t="s">
        <v>1946</v>
      </c>
      <c r="B82" s="33" t="s">
        <v>1947</v>
      </c>
      <c r="C82" s="85">
        <v>15</v>
      </c>
      <c r="D82" s="33" t="s">
        <v>1942</v>
      </c>
      <c r="E82" s="33" t="s">
        <v>1919</v>
      </c>
      <c r="F82" s="33" t="s">
        <v>163</v>
      </c>
      <c r="G82" s="33" t="s">
        <v>1948</v>
      </c>
      <c r="H82" s="33" t="s">
        <v>1949</v>
      </c>
      <c r="I82" s="33" t="s">
        <v>1950</v>
      </c>
      <c r="J82" s="33" t="s">
        <v>697</v>
      </c>
    </row>
    <row r="83" spans="1:10" ht="71.25" customHeight="1">
      <c r="A83" s="33" t="s">
        <v>1951</v>
      </c>
      <c r="B83" s="33" t="s">
        <v>1952</v>
      </c>
      <c r="C83" s="85">
        <v>15</v>
      </c>
      <c r="D83" s="33" t="s">
        <v>1953</v>
      </c>
      <c r="E83" s="33" t="s">
        <v>1919</v>
      </c>
      <c r="F83" s="33" t="s">
        <v>163</v>
      </c>
      <c r="G83" s="33" t="s">
        <v>1954</v>
      </c>
      <c r="H83" s="33" t="s">
        <v>1955</v>
      </c>
      <c r="I83" s="33" t="s">
        <v>1956</v>
      </c>
      <c r="J83" s="33" t="s">
        <v>697</v>
      </c>
    </row>
    <row r="84" spans="1:10" ht="86.25" customHeight="1">
      <c r="A84" s="33" t="s">
        <v>1957</v>
      </c>
      <c r="B84" s="33" t="s">
        <v>1958</v>
      </c>
      <c r="C84" s="85">
        <v>60</v>
      </c>
      <c r="D84" s="33" t="s">
        <v>1953</v>
      </c>
      <c r="E84" s="33" t="s">
        <v>1919</v>
      </c>
      <c r="F84" s="33" t="s">
        <v>163</v>
      </c>
      <c r="G84" s="33" t="s">
        <v>1959</v>
      </c>
      <c r="H84" s="33" t="s">
        <v>1960</v>
      </c>
      <c r="I84" s="33" t="s">
        <v>1961</v>
      </c>
      <c r="J84" s="33" t="s">
        <v>697</v>
      </c>
    </row>
    <row r="85" spans="1:10" ht="71.25" customHeight="1">
      <c r="A85" s="33" t="s">
        <v>1962</v>
      </c>
      <c r="B85" s="33" t="s">
        <v>1963</v>
      </c>
      <c r="C85" s="33" t="s">
        <v>1021</v>
      </c>
      <c r="D85" s="33" t="s">
        <v>737</v>
      </c>
      <c r="E85" s="33" t="s">
        <v>1919</v>
      </c>
      <c r="F85" s="33" t="s">
        <v>163</v>
      </c>
      <c r="G85" s="33" t="s">
        <v>1964</v>
      </c>
      <c r="H85" s="33" t="s">
        <v>1965</v>
      </c>
      <c r="I85" s="33" t="s">
        <v>1966</v>
      </c>
      <c r="J85" s="33" t="s">
        <v>1021</v>
      </c>
    </row>
    <row r="86" spans="1:10" ht="90" customHeight="1">
      <c r="A86" s="33" t="s">
        <v>1967</v>
      </c>
      <c r="B86" s="33" t="s">
        <v>1968</v>
      </c>
      <c r="C86" s="85">
        <f>SUM(C87:C91)</f>
        <v>60</v>
      </c>
      <c r="D86" s="33" t="s">
        <v>1969</v>
      </c>
      <c r="E86" s="33" t="s">
        <v>1919</v>
      </c>
      <c r="F86" s="33" t="s">
        <v>260</v>
      </c>
      <c r="G86" s="33" t="s">
        <v>1970</v>
      </c>
      <c r="H86" s="33" t="s">
        <v>1971</v>
      </c>
      <c r="I86" s="33" t="s">
        <v>1972</v>
      </c>
      <c r="J86" s="33" t="s">
        <v>697</v>
      </c>
    </row>
    <row r="87" spans="1:10" ht="78.75" customHeight="1">
      <c r="A87" s="33" t="s">
        <v>1973</v>
      </c>
      <c r="B87" s="33" t="s">
        <v>1974</v>
      </c>
      <c r="C87" s="85">
        <v>10</v>
      </c>
      <c r="D87" s="33" t="s">
        <v>1969</v>
      </c>
      <c r="E87" s="33" t="s">
        <v>1919</v>
      </c>
      <c r="F87" s="33" t="s">
        <v>260</v>
      </c>
      <c r="G87" s="33" t="s">
        <v>1975</v>
      </c>
      <c r="H87" s="33" t="s">
        <v>1976</v>
      </c>
      <c r="I87" s="33" t="s">
        <v>1977</v>
      </c>
      <c r="J87" s="33" t="s">
        <v>697</v>
      </c>
    </row>
    <row r="88" spans="1:10" ht="78.75" customHeight="1">
      <c r="A88" s="33" t="s">
        <v>1978</v>
      </c>
      <c r="B88" s="33" t="s">
        <v>1979</v>
      </c>
      <c r="C88" s="85">
        <v>15</v>
      </c>
      <c r="D88" s="33" t="s">
        <v>1969</v>
      </c>
      <c r="E88" s="33" t="s">
        <v>1919</v>
      </c>
      <c r="F88" s="33" t="s">
        <v>260</v>
      </c>
      <c r="G88" s="33" t="s">
        <v>1980</v>
      </c>
      <c r="H88" s="33" t="s">
        <v>1981</v>
      </c>
      <c r="I88" s="33" t="s">
        <v>1982</v>
      </c>
      <c r="J88" s="33" t="s">
        <v>697</v>
      </c>
    </row>
    <row r="89" spans="1:10" ht="78.75" customHeight="1">
      <c r="A89" s="33" t="s">
        <v>1983</v>
      </c>
      <c r="B89" s="33" t="s">
        <v>1984</v>
      </c>
      <c r="C89" s="85">
        <v>15</v>
      </c>
      <c r="D89" s="33" t="s">
        <v>1969</v>
      </c>
      <c r="E89" s="33" t="s">
        <v>1919</v>
      </c>
      <c r="F89" s="33" t="s">
        <v>260</v>
      </c>
      <c r="G89" s="33" t="s">
        <v>1985</v>
      </c>
      <c r="H89" s="33" t="s">
        <v>1986</v>
      </c>
      <c r="I89" s="33" t="s">
        <v>1987</v>
      </c>
      <c r="J89" s="33" t="s">
        <v>697</v>
      </c>
    </row>
    <row r="90" spans="1:10" ht="78.75" customHeight="1">
      <c r="A90" s="33" t="s">
        <v>1988</v>
      </c>
      <c r="B90" s="33" t="s">
        <v>1989</v>
      </c>
      <c r="C90" s="85">
        <v>15</v>
      </c>
      <c r="D90" s="33" t="s">
        <v>1969</v>
      </c>
      <c r="E90" s="33" t="s">
        <v>1919</v>
      </c>
      <c r="F90" s="33" t="s">
        <v>260</v>
      </c>
      <c r="G90" s="33" t="s">
        <v>1990</v>
      </c>
      <c r="H90" s="33" t="s">
        <v>1991</v>
      </c>
      <c r="I90" s="33" t="s">
        <v>1992</v>
      </c>
      <c r="J90" s="33" t="s">
        <v>697</v>
      </c>
    </row>
    <row r="91" spans="1:10" ht="78.75" customHeight="1">
      <c r="A91" s="33" t="s">
        <v>1993</v>
      </c>
      <c r="B91" s="33" t="s">
        <v>1994</v>
      </c>
      <c r="C91" s="85">
        <v>5</v>
      </c>
      <c r="D91" s="33" t="s">
        <v>1969</v>
      </c>
      <c r="E91" s="33" t="s">
        <v>1919</v>
      </c>
      <c r="F91" s="33" t="s">
        <v>260</v>
      </c>
      <c r="G91" s="33" t="s">
        <v>1995</v>
      </c>
      <c r="H91" s="33" t="s">
        <v>1991</v>
      </c>
      <c r="I91" s="33" t="s">
        <v>1996</v>
      </c>
      <c r="J91" s="33" t="s">
        <v>697</v>
      </c>
    </row>
    <row r="92" spans="1:10" ht="90" customHeight="1">
      <c r="A92" s="33" t="s">
        <v>1997</v>
      </c>
      <c r="B92" s="33" t="s">
        <v>1998</v>
      </c>
      <c r="C92" s="33" t="s">
        <v>1024</v>
      </c>
      <c r="D92" s="33" t="s">
        <v>1025</v>
      </c>
      <c r="E92" s="33" t="s">
        <v>1919</v>
      </c>
      <c r="F92" s="33" t="s">
        <v>260</v>
      </c>
      <c r="G92" s="33" t="s">
        <v>1999</v>
      </c>
      <c r="H92" s="33" t="s">
        <v>2000</v>
      </c>
      <c r="I92" s="33" t="s">
        <v>2001</v>
      </c>
      <c r="J92" s="33" t="s">
        <v>1021</v>
      </c>
    </row>
  </sheetData>
  <mergeCells count="5">
    <mergeCell ref="A1:J1"/>
    <mergeCell ref="A2:J3"/>
    <mergeCell ref="A5:J5"/>
    <mergeCell ref="A31:J31"/>
    <mergeCell ref="A32:J32"/>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81"/>
  <sheetViews>
    <sheetView showGridLines="0" workbookViewId="0"/>
  </sheetViews>
  <sheetFormatPr baseColWidth="10" defaultColWidth="9.140625" defaultRowHeight="14.15"/>
  <cols>
    <col min="1" max="1" width="14" customWidth="1"/>
    <col min="2" max="2" width="36" customWidth="1"/>
    <col min="3" max="3" width="44" customWidth="1"/>
    <col min="4" max="4" width="52" customWidth="1"/>
    <col min="5" max="5" width="40" customWidth="1"/>
    <col min="6" max="6" width="34" customWidth="1"/>
    <col min="7" max="7" width="42" customWidth="1"/>
    <col min="8" max="8" width="54" customWidth="1"/>
  </cols>
  <sheetData>
    <row r="1" spans="1:10" ht="30" customHeight="1">
      <c r="A1" s="29" t="s">
        <v>0</v>
      </c>
      <c r="B1" s="29" t="s">
        <v>0</v>
      </c>
      <c r="C1" s="29" t="s">
        <v>0</v>
      </c>
      <c r="D1" s="29" t="s">
        <v>0</v>
      </c>
      <c r="E1" s="29" t="s">
        <v>0</v>
      </c>
      <c r="F1" s="29" t="s">
        <v>0</v>
      </c>
      <c r="G1" s="29" t="s">
        <v>0</v>
      </c>
      <c r="H1" s="29" t="s">
        <v>0</v>
      </c>
      <c r="I1" s="29" t="s">
        <v>0</v>
      </c>
      <c r="J1" s="29" t="s">
        <v>0</v>
      </c>
    </row>
    <row r="2" spans="1:10" ht="40" customHeight="1">
      <c r="A2" s="109" t="s">
        <v>1030</v>
      </c>
      <c r="B2" s="109"/>
      <c r="C2" s="109"/>
      <c r="D2" s="109"/>
      <c r="E2" s="109"/>
      <c r="F2" s="109"/>
    </row>
    <row r="4" spans="1:10">
      <c r="A4" s="1" t="s">
        <v>1031</v>
      </c>
      <c r="B4" s="1" t="s">
        <v>1032</v>
      </c>
      <c r="C4" s="1" t="s">
        <v>1033</v>
      </c>
      <c r="D4" s="1" t="s">
        <v>1034</v>
      </c>
      <c r="E4" s="1" t="s">
        <v>1035</v>
      </c>
      <c r="F4" s="1" t="s">
        <v>1036</v>
      </c>
      <c r="G4" s="37" t="s">
        <v>1037</v>
      </c>
    </row>
    <row r="5" spans="1:10" ht="44.05" customHeight="1">
      <c r="A5" s="5">
        <v>46222</v>
      </c>
      <c r="B5" s="2" t="s">
        <v>1038</v>
      </c>
      <c r="C5" s="2" t="s">
        <v>1039</v>
      </c>
      <c r="D5" s="2" t="s">
        <v>1040</v>
      </c>
      <c r="E5" s="2" t="s">
        <v>1041</v>
      </c>
      <c r="F5" s="2"/>
    </row>
    <row r="6" spans="1:10" ht="44.05" customHeight="1">
      <c r="A6" s="5">
        <v>46222</v>
      </c>
      <c r="B6" s="2" t="s">
        <v>1042</v>
      </c>
      <c r="C6" s="2" t="s">
        <v>1043</v>
      </c>
      <c r="D6" s="2" t="s">
        <v>1044</v>
      </c>
      <c r="E6" s="2" t="s">
        <v>1041</v>
      </c>
      <c r="F6" s="2"/>
    </row>
    <row r="7" spans="1:10" ht="44.05" customHeight="1">
      <c r="A7" s="5">
        <v>46222</v>
      </c>
      <c r="B7" s="2" t="s">
        <v>1045</v>
      </c>
      <c r="C7" s="2" t="s">
        <v>1046</v>
      </c>
      <c r="D7" s="2" t="s">
        <v>1047</v>
      </c>
      <c r="E7" s="2" t="s">
        <v>1041</v>
      </c>
      <c r="F7" s="2"/>
    </row>
    <row r="8" spans="1:10" ht="44.05" customHeight="1">
      <c r="A8" s="5">
        <v>46222</v>
      </c>
      <c r="B8" s="2" t="s">
        <v>1048</v>
      </c>
      <c r="C8" s="2" t="s">
        <v>1049</v>
      </c>
      <c r="D8" s="2" t="s">
        <v>1050</v>
      </c>
      <c r="E8" s="2" t="s">
        <v>1041</v>
      </c>
      <c r="F8" s="2"/>
    </row>
    <row r="9" spans="1:10" ht="44.05" customHeight="1">
      <c r="A9" s="5">
        <v>46222</v>
      </c>
      <c r="B9" s="2" t="s">
        <v>1051</v>
      </c>
      <c r="C9" s="2" t="s">
        <v>1052</v>
      </c>
      <c r="D9" s="2" t="s">
        <v>1053</v>
      </c>
      <c r="E9" s="2" t="s">
        <v>1041</v>
      </c>
      <c r="F9" s="2"/>
    </row>
    <row r="10" spans="1:10" ht="44.05" customHeight="1">
      <c r="A10" s="5">
        <v>46222</v>
      </c>
      <c r="B10" s="2" t="s">
        <v>1054</v>
      </c>
      <c r="C10" s="2" t="s">
        <v>1055</v>
      </c>
      <c r="D10" s="2" t="s">
        <v>1056</v>
      </c>
      <c r="E10" s="2" t="s">
        <v>1041</v>
      </c>
      <c r="F10" s="2"/>
    </row>
    <row r="11" spans="1:10" ht="44.05" customHeight="1">
      <c r="A11" s="5">
        <v>46222</v>
      </c>
      <c r="B11" s="2" t="s">
        <v>1057</v>
      </c>
      <c r="C11" s="2" t="s">
        <v>1058</v>
      </c>
      <c r="D11" s="2" t="s">
        <v>1059</v>
      </c>
      <c r="E11" s="2" t="s">
        <v>1041</v>
      </c>
      <c r="F11" s="2"/>
    </row>
    <row r="12" spans="1:10" ht="44.05" customHeight="1">
      <c r="A12" s="5">
        <v>46222</v>
      </c>
      <c r="B12" s="2" t="s">
        <v>1060</v>
      </c>
      <c r="C12" s="2" t="s">
        <v>1061</v>
      </c>
      <c r="D12" s="2" t="s">
        <v>1062</v>
      </c>
      <c r="E12" s="2" t="s">
        <v>1041</v>
      </c>
      <c r="F12" s="2"/>
    </row>
    <row r="13" spans="1:10" ht="44.05" customHeight="1">
      <c r="A13" s="5">
        <v>46226</v>
      </c>
      <c r="B13" s="2" t="s">
        <v>1063</v>
      </c>
      <c r="C13" s="2" t="s">
        <v>1064</v>
      </c>
      <c r="D13" s="2" t="s">
        <v>1065</v>
      </c>
      <c r="E13" s="2" t="s">
        <v>1066</v>
      </c>
      <c r="F13" s="2" t="s">
        <v>1067</v>
      </c>
    </row>
    <row r="14" spans="1:10" ht="58" customHeight="1">
      <c r="A14" s="5">
        <v>46226</v>
      </c>
      <c r="B14" s="2" t="s">
        <v>1068</v>
      </c>
      <c r="C14" s="2" t="s">
        <v>1069</v>
      </c>
      <c r="D14" s="2" t="s">
        <v>1070</v>
      </c>
      <c r="E14" s="2" t="s">
        <v>1071</v>
      </c>
      <c r="F14" s="2" t="s">
        <v>1067</v>
      </c>
    </row>
    <row r="15" spans="1:10" ht="44.05" customHeight="1">
      <c r="A15" s="5">
        <v>46226</v>
      </c>
      <c r="B15" s="2" t="s">
        <v>1072</v>
      </c>
      <c r="C15" s="2" t="s">
        <v>1073</v>
      </c>
      <c r="D15" s="2" t="s">
        <v>1074</v>
      </c>
      <c r="E15" s="2" t="s">
        <v>1075</v>
      </c>
      <c r="F15" s="2" t="s">
        <v>1067</v>
      </c>
    </row>
    <row r="16" spans="1:10" ht="58" customHeight="1">
      <c r="A16" s="5">
        <v>46226</v>
      </c>
      <c r="B16" s="2" t="s">
        <v>1076</v>
      </c>
      <c r="C16" s="2" t="s">
        <v>1077</v>
      </c>
      <c r="D16" s="2" t="s">
        <v>1078</v>
      </c>
      <c r="E16" s="2" t="s">
        <v>1079</v>
      </c>
      <c r="F16" s="2" t="s">
        <v>1067</v>
      </c>
    </row>
    <row r="17" spans="1:6" ht="58" customHeight="1">
      <c r="A17" s="5">
        <v>46226</v>
      </c>
      <c r="B17" s="2" t="s">
        <v>1080</v>
      </c>
      <c r="C17" s="2" t="s">
        <v>1081</v>
      </c>
      <c r="D17" s="2" t="s">
        <v>1082</v>
      </c>
      <c r="E17" s="2" t="s">
        <v>1083</v>
      </c>
      <c r="F17" s="2" t="s">
        <v>1067</v>
      </c>
    </row>
    <row r="18" spans="1:6" ht="58" customHeight="1">
      <c r="A18" s="5">
        <v>46226</v>
      </c>
      <c r="B18" s="2" t="s">
        <v>1084</v>
      </c>
      <c r="C18" s="2" t="s">
        <v>1085</v>
      </c>
      <c r="D18" s="2" t="s">
        <v>1086</v>
      </c>
      <c r="E18" s="2" t="s">
        <v>1087</v>
      </c>
      <c r="F18" s="2" t="s">
        <v>1088</v>
      </c>
    </row>
    <row r="19" spans="1:6" ht="58" customHeight="1">
      <c r="A19" s="5">
        <v>46226</v>
      </c>
      <c r="B19" s="2" t="s">
        <v>1089</v>
      </c>
      <c r="C19" s="2" t="s">
        <v>1090</v>
      </c>
      <c r="D19" s="2" t="s">
        <v>1091</v>
      </c>
      <c r="E19" s="2" t="s">
        <v>1092</v>
      </c>
      <c r="F19" s="2" t="s">
        <v>1067</v>
      </c>
    </row>
    <row r="20" spans="1:6" ht="44.05" customHeight="1">
      <c r="A20" s="5">
        <v>46226</v>
      </c>
      <c r="B20" s="2" t="s">
        <v>1093</v>
      </c>
      <c r="C20" s="2" t="s">
        <v>1094</v>
      </c>
      <c r="D20" s="2" t="s">
        <v>1095</v>
      </c>
      <c r="E20" s="2" t="s">
        <v>1096</v>
      </c>
      <c r="F20" s="2" t="s">
        <v>1097</v>
      </c>
    </row>
    <row r="21" spans="1:6" ht="44.05" customHeight="1">
      <c r="A21" s="5">
        <v>46226</v>
      </c>
      <c r="B21" s="2" t="s">
        <v>1098</v>
      </c>
      <c r="C21" s="2" t="s">
        <v>1099</v>
      </c>
      <c r="D21" s="2" t="s">
        <v>1100</v>
      </c>
      <c r="E21" s="2" t="s">
        <v>1092</v>
      </c>
      <c r="F21" s="2" t="s">
        <v>1067</v>
      </c>
    </row>
    <row r="22" spans="1:6" ht="58" customHeight="1">
      <c r="A22" s="5">
        <v>46226</v>
      </c>
      <c r="B22" s="2" t="s">
        <v>1101</v>
      </c>
      <c r="C22" s="2" t="s">
        <v>1102</v>
      </c>
      <c r="D22" s="2" t="s">
        <v>1103</v>
      </c>
      <c r="E22" s="2" t="s">
        <v>1092</v>
      </c>
      <c r="F22" s="2" t="s">
        <v>1104</v>
      </c>
    </row>
    <row r="23" spans="1:6" ht="44.05" customHeight="1">
      <c r="A23" s="5">
        <v>46226</v>
      </c>
      <c r="B23" s="2" t="s">
        <v>1105</v>
      </c>
      <c r="C23" s="2" t="s">
        <v>1106</v>
      </c>
      <c r="D23" s="2" t="s">
        <v>1107</v>
      </c>
      <c r="E23" s="2" t="s">
        <v>1108</v>
      </c>
      <c r="F23" s="2" t="s">
        <v>1109</v>
      </c>
    </row>
    <row r="24" spans="1:6" ht="58" customHeight="1">
      <c r="A24" s="5">
        <v>46226</v>
      </c>
      <c r="B24" s="2" t="s">
        <v>1110</v>
      </c>
      <c r="C24" s="2" t="s">
        <v>1111</v>
      </c>
      <c r="D24" s="2" t="s">
        <v>1112</v>
      </c>
      <c r="E24" s="2" t="s">
        <v>1113</v>
      </c>
      <c r="F24" s="2" t="s">
        <v>1114</v>
      </c>
    </row>
    <row r="25" spans="1:6" ht="58" customHeight="1">
      <c r="A25" s="5">
        <v>46227</v>
      </c>
      <c r="B25" s="2" t="s">
        <v>1115</v>
      </c>
      <c r="C25" s="2" t="s">
        <v>1116</v>
      </c>
      <c r="D25" s="2" t="s">
        <v>1117</v>
      </c>
      <c r="E25" s="2" t="s">
        <v>1118</v>
      </c>
      <c r="F25" s="2" t="s">
        <v>1067</v>
      </c>
    </row>
    <row r="26" spans="1:6" ht="58" customHeight="1">
      <c r="A26" s="5">
        <v>46227</v>
      </c>
      <c r="B26" s="2" t="s">
        <v>1119</v>
      </c>
      <c r="C26" s="2" t="s">
        <v>1120</v>
      </c>
      <c r="D26" s="2" t="s">
        <v>1121</v>
      </c>
      <c r="E26" s="2" t="s">
        <v>1092</v>
      </c>
      <c r="F26" s="2" t="s">
        <v>1067</v>
      </c>
    </row>
    <row r="27" spans="1:6" ht="58" customHeight="1">
      <c r="A27" s="5">
        <v>46227</v>
      </c>
      <c r="B27" s="2" t="s">
        <v>1122</v>
      </c>
      <c r="C27" s="2" t="s">
        <v>1123</v>
      </c>
      <c r="D27" s="2" t="s">
        <v>1124</v>
      </c>
      <c r="E27" s="2" t="s">
        <v>1125</v>
      </c>
      <c r="F27" s="2" t="s">
        <v>1067</v>
      </c>
    </row>
    <row r="28" spans="1:6" ht="58" customHeight="1">
      <c r="A28" s="5">
        <v>46227</v>
      </c>
      <c r="B28" s="2" t="s">
        <v>1126</v>
      </c>
      <c r="C28" s="2" t="s">
        <v>1127</v>
      </c>
      <c r="D28" s="2" t="s">
        <v>1128</v>
      </c>
      <c r="E28" s="2" t="s">
        <v>1129</v>
      </c>
      <c r="F28" s="2" t="s">
        <v>1067</v>
      </c>
    </row>
    <row r="29" spans="1:6" ht="58" customHeight="1">
      <c r="A29" s="5">
        <v>46227</v>
      </c>
      <c r="B29" s="2" t="s">
        <v>1130</v>
      </c>
      <c r="C29" s="2" t="s">
        <v>1131</v>
      </c>
      <c r="D29" s="2" t="s">
        <v>1132</v>
      </c>
      <c r="E29" s="2" t="s">
        <v>1133</v>
      </c>
      <c r="F29" s="2" t="s">
        <v>1067</v>
      </c>
    </row>
    <row r="30" spans="1:6" ht="58" customHeight="1">
      <c r="A30" s="5">
        <v>46227</v>
      </c>
      <c r="B30" s="2" t="s">
        <v>1134</v>
      </c>
      <c r="C30" s="2" t="s">
        <v>1135</v>
      </c>
      <c r="D30" s="2" t="s">
        <v>1136</v>
      </c>
      <c r="E30" s="2" t="s">
        <v>1108</v>
      </c>
      <c r="F30" s="2" t="s">
        <v>1067</v>
      </c>
    </row>
    <row r="31" spans="1:6" ht="68.05" customHeight="1">
      <c r="A31" s="22">
        <v>46229</v>
      </c>
      <c r="B31" s="21" t="s">
        <v>1137</v>
      </c>
      <c r="C31" s="21" t="s">
        <v>1138</v>
      </c>
      <c r="D31" s="21" t="s">
        <v>1139</v>
      </c>
      <c r="E31" s="21" t="s">
        <v>1140</v>
      </c>
      <c r="F31" s="21" t="s">
        <v>1141</v>
      </c>
    </row>
    <row r="32" spans="1:6" ht="58" customHeight="1">
      <c r="A32" s="23" t="s">
        <v>1142</v>
      </c>
      <c r="B32" s="24" t="s">
        <v>1143</v>
      </c>
      <c r="C32" s="24" t="s">
        <v>1144</v>
      </c>
      <c r="D32" s="24" t="s">
        <v>1145</v>
      </c>
      <c r="E32" s="24" t="s">
        <v>1146</v>
      </c>
      <c r="F32" s="25" t="s">
        <v>1067</v>
      </c>
    </row>
    <row r="33" spans="1:10" ht="104.05" customHeight="1">
      <c r="A33" s="26" t="s">
        <v>1142</v>
      </c>
      <c r="B33" s="26" t="s">
        <v>1147</v>
      </c>
      <c r="C33" s="26" t="s">
        <v>1148</v>
      </c>
      <c r="D33" s="26" t="s">
        <v>1149</v>
      </c>
      <c r="E33" s="26" t="s">
        <v>1150</v>
      </c>
      <c r="F33" s="26" t="s">
        <v>1067</v>
      </c>
    </row>
    <row r="34" spans="1:10" ht="88" customHeight="1">
      <c r="A34" s="26" t="s">
        <v>1151</v>
      </c>
      <c r="B34" s="26" t="s">
        <v>1152</v>
      </c>
      <c r="C34" s="26" t="s">
        <v>1153</v>
      </c>
      <c r="D34" s="26" t="s">
        <v>1154</v>
      </c>
      <c r="E34" s="26" t="s">
        <v>1146</v>
      </c>
      <c r="F34" s="26" t="s">
        <v>1067</v>
      </c>
      <c r="G34" s="26"/>
      <c r="H34" s="26"/>
      <c r="I34" s="26"/>
      <c r="J34" s="26"/>
    </row>
    <row r="35" spans="1:10" ht="88" customHeight="1">
      <c r="A35" s="26" t="s">
        <v>1151</v>
      </c>
      <c r="B35" s="26" t="s">
        <v>1155</v>
      </c>
      <c r="C35" s="26" t="s">
        <v>1156</v>
      </c>
      <c r="D35" s="26" t="s">
        <v>1157</v>
      </c>
      <c r="E35" s="26" t="s">
        <v>1158</v>
      </c>
      <c r="F35" s="26" t="s">
        <v>1067</v>
      </c>
    </row>
    <row r="36" spans="1:10" ht="88" customHeight="1">
      <c r="A36" s="26" t="s">
        <v>1151</v>
      </c>
      <c r="B36" s="26" t="s">
        <v>1159</v>
      </c>
      <c r="C36" s="26" t="s">
        <v>1160</v>
      </c>
      <c r="D36" s="26" t="s">
        <v>1161</v>
      </c>
      <c r="E36" s="26" t="s">
        <v>1162</v>
      </c>
      <c r="F36" s="26" t="s">
        <v>1067</v>
      </c>
    </row>
    <row r="37" spans="1:10" ht="88" customHeight="1">
      <c r="A37" s="26" t="s">
        <v>1151</v>
      </c>
      <c r="B37" s="26" t="s">
        <v>1163</v>
      </c>
      <c r="C37" s="26" t="s">
        <v>1164</v>
      </c>
      <c r="D37" s="26" t="s">
        <v>1165</v>
      </c>
      <c r="E37" s="26" t="s">
        <v>1162</v>
      </c>
      <c r="F37" s="26" t="s">
        <v>1067</v>
      </c>
    </row>
    <row r="38" spans="1:10" ht="88" customHeight="1">
      <c r="A38" s="26" t="s">
        <v>1166</v>
      </c>
      <c r="B38" s="26" t="s">
        <v>1167</v>
      </c>
      <c r="C38" s="26" t="s">
        <v>1168</v>
      </c>
      <c r="D38" s="26" t="s">
        <v>1169</v>
      </c>
      <c r="E38" s="26" t="s">
        <v>1170</v>
      </c>
      <c r="F38" s="26" t="s">
        <v>1067</v>
      </c>
      <c r="G38" s="26" t="s">
        <v>1171</v>
      </c>
      <c r="H38" s="26"/>
      <c r="I38" s="26"/>
      <c r="J38" s="26"/>
    </row>
    <row r="39" spans="1:10" ht="88" customHeight="1">
      <c r="A39" s="26" t="s">
        <v>1166</v>
      </c>
      <c r="B39" s="26" t="s">
        <v>1172</v>
      </c>
      <c r="C39" s="26" t="s">
        <v>1173</v>
      </c>
      <c r="D39" s="26" t="s">
        <v>1174</v>
      </c>
      <c r="E39" s="26" t="s">
        <v>1175</v>
      </c>
      <c r="F39" s="26" t="s">
        <v>1176</v>
      </c>
      <c r="G39" s="26" t="s">
        <v>1177</v>
      </c>
      <c r="H39" s="26"/>
      <c r="I39" s="26"/>
      <c r="J39" s="26"/>
    </row>
    <row r="40" spans="1:10" ht="88" customHeight="1">
      <c r="A40" s="26" t="s">
        <v>1166</v>
      </c>
      <c r="B40" s="26" t="s">
        <v>1178</v>
      </c>
      <c r="C40" s="26" t="s">
        <v>1179</v>
      </c>
      <c r="D40" s="26" t="s">
        <v>1180</v>
      </c>
      <c r="E40" s="26" t="s">
        <v>1181</v>
      </c>
      <c r="F40" s="26" t="s">
        <v>1182</v>
      </c>
      <c r="G40" s="26" t="s">
        <v>1183</v>
      </c>
      <c r="H40" s="26"/>
      <c r="I40" s="26"/>
      <c r="J40" s="26"/>
    </row>
    <row r="41" spans="1:10" ht="88" customHeight="1">
      <c r="A41" s="26" t="s">
        <v>1166</v>
      </c>
      <c r="B41" s="26" t="s">
        <v>1184</v>
      </c>
      <c r="C41" s="26" t="s">
        <v>1185</v>
      </c>
      <c r="D41" s="26" t="s">
        <v>1186</v>
      </c>
      <c r="E41" s="26" t="s">
        <v>1187</v>
      </c>
      <c r="F41" s="26" t="s">
        <v>1188</v>
      </c>
      <c r="G41" s="26" t="s">
        <v>1189</v>
      </c>
      <c r="H41" s="26"/>
      <c r="I41" s="26"/>
      <c r="J41" s="26"/>
    </row>
    <row r="42" spans="1:10">
      <c r="A42" t="s">
        <v>1190</v>
      </c>
      <c r="B42" t="s">
        <v>1191</v>
      </c>
      <c r="C42" t="s">
        <v>1192</v>
      </c>
      <c r="D42" t="s">
        <v>1193</v>
      </c>
      <c r="E42" t="s">
        <v>1194</v>
      </c>
      <c r="F42" t="s">
        <v>1195</v>
      </c>
      <c r="G42" t="s">
        <v>1196</v>
      </c>
    </row>
    <row r="43" spans="1:10" ht="26.05" customHeight="1">
      <c r="A43" s="38"/>
      <c r="B43" s="38"/>
      <c r="C43" s="38"/>
      <c r="D43" s="38"/>
      <c r="E43" s="38"/>
      <c r="F43" s="38"/>
      <c r="G43" s="38"/>
      <c r="H43" s="38"/>
    </row>
    <row r="44" spans="1:10" ht="38.049999999999997" customHeight="1">
      <c r="A44" s="125" t="s">
        <v>1197</v>
      </c>
      <c r="B44" s="125"/>
      <c r="C44" s="125"/>
      <c r="D44" s="125"/>
      <c r="E44" s="125"/>
      <c r="F44" s="125"/>
      <c r="G44" s="125"/>
      <c r="H44" s="125"/>
    </row>
    <row r="45" spans="1:10" ht="38.049999999999997" customHeight="1">
      <c r="A45" s="39" t="s">
        <v>1198</v>
      </c>
      <c r="B45" s="39"/>
      <c r="C45" s="39"/>
      <c r="D45" s="39"/>
      <c r="E45" s="39"/>
      <c r="F45" s="39"/>
      <c r="G45" s="39"/>
      <c r="H45" s="39"/>
    </row>
    <row r="46" spans="1:10" ht="82" customHeight="1">
      <c r="A46" s="41" t="s">
        <v>1199</v>
      </c>
      <c r="B46" s="41" t="s">
        <v>1200</v>
      </c>
      <c r="C46" s="41" t="s">
        <v>1201</v>
      </c>
      <c r="D46" s="41" t="s">
        <v>13</v>
      </c>
      <c r="E46" s="41" t="s">
        <v>14</v>
      </c>
      <c r="F46" s="41" t="s">
        <v>1202</v>
      </c>
      <c r="G46" s="41" t="s">
        <v>1203</v>
      </c>
      <c r="H46" s="41" t="s">
        <v>1204</v>
      </c>
    </row>
    <row r="47" spans="1:10" ht="105" customHeight="1">
      <c r="A47" s="40" t="s">
        <v>1205</v>
      </c>
      <c r="B47" s="40" t="s">
        <v>1206</v>
      </c>
      <c r="C47" s="40" t="s">
        <v>17</v>
      </c>
      <c r="D47" s="40" t="s">
        <v>1207</v>
      </c>
      <c r="E47" s="40" t="s">
        <v>1208</v>
      </c>
      <c r="F47" s="40" t="s">
        <v>254</v>
      </c>
      <c r="G47" s="40" t="s">
        <v>1209</v>
      </c>
      <c r="H47" s="40" t="s">
        <v>506</v>
      </c>
    </row>
    <row r="48" spans="1:10" ht="82" customHeight="1">
      <c r="A48" s="41" t="s">
        <v>1210</v>
      </c>
      <c r="B48" s="41" t="s">
        <v>1206</v>
      </c>
      <c r="C48" s="41" t="s">
        <v>17</v>
      </c>
      <c r="D48" s="41" t="s">
        <v>1207</v>
      </c>
      <c r="E48" s="41" t="s">
        <v>1211</v>
      </c>
      <c r="F48" s="41" t="s">
        <v>1212</v>
      </c>
      <c r="G48" s="41" t="s">
        <v>1213</v>
      </c>
      <c r="H48" s="41" t="s">
        <v>506</v>
      </c>
    </row>
    <row r="49" spans="1:8" ht="108" customHeight="1">
      <c r="A49" s="40" t="s">
        <v>1214</v>
      </c>
      <c r="B49" s="40" t="s">
        <v>1206</v>
      </c>
      <c r="C49" s="40" t="s">
        <v>17</v>
      </c>
      <c r="D49" s="40" t="s">
        <v>184</v>
      </c>
      <c r="E49" s="40" t="s">
        <v>1215</v>
      </c>
      <c r="F49" s="40" t="s">
        <v>1216</v>
      </c>
      <c r="G49" s="40" t="s">
        <v>1217</v>
      </c>
      <c r="H49" s="40" t="s">
        <v>506</v>
      </c>
    </row>
    <row r="50" spans="1:8" ht="150" customHeight="1">
      <c r="A50" s="41" t="s">
        <v>1218</v>
      </c>
      <c r="B50" s="41" t="s">
        <v>1206</v>
      </c>
      <c r="C50" s="41" t="s">
        <v>268</v>
      </c>
      <c r="D50" s="41" t="s">
        <v>1219</v>
      </c>
      <c r="E50" s="41" t="s">
        <v>1220</v>
      </c>
      <c r="F50" s="41" t="s">
        <v>1221</v>
      </c>
      <c r="G50" s="41" t="s">
        <v>1222</v>
      </c>
      <c r="H50" s="41" t="s">
        <v>506</v>
      </c>
    </row>
    <row r="51" spans="1:8" ht="165" customHeight="1">
      <c r="A51" s="40" t="s">
        <v>1223</v>
      </c>
      <c r="B51" s="40" t="s">
        <v>1206</v>
      </c>
      <c r="C51" s="40" t="s">
        <v>1224</v>
      </c>
      <c r="D51" s="40" t="s">
        <v>411</v>
      </c>
      <c r="E51" s="40" t="s">
        <v>1225</v>
      </c>
      <c r="F51" s="40" t="s">
        <v>1226</v>
      </c>
      <c r="G51" s="40" t="s">
        <v>1227</v>
      </c>
      <c r="H51" s="40" t="s">
        <v>528</v>
      </c>
    </row>
    <row r="52" spans="1:8" ht="135" customHeight="1">
      <c r="A52" s="41" t="s">
        <v>1228</v>
      </c>
      <c r="B52" s="41" t="s">
        <v>1229</v>
      </c>
      <c r="C52" s="41" t="s">
        <v>17</v>
      </c>
      <c r="D52" s="41" t="s">
        <v>184</v>
      </c>
      <c r="E52" s="41" t="s">
        <v>1230</v>
      </c>
      <c r="F52" s="41" t="s">
        <v>1231</v>
      </c>
      <c r="G52" s="41" t="s">
        <v>1232</v>
      </c>
      <c r="H52" s="41" t="s">
        <v>506</v>
      </c>
    </row>
    <row r="53" spans="1:8" ht="175" customHeight="1">
      <c r="A53" s="40" t="s">
        <v>1233</v>
      </c>
      <c r="B53" s="40" t="s">
        <v>1229</v>
      </c>
      <c r="C53" s="40" t="s">
        <v>1224</v>
      </c>
      <c r="D53" s="40" t="s">
        <v>373</v>
      </c>
      <c r="E53" s="40" t="s">
        <v>1234</v>
      </c>
      <c r="F53" s="40" t="s">
        <v>1235</v>
      </c>
      <c r="G53" s="40" t="s">
        <v>1236</v>
      </c>
      <c r="H53" s="40" t="s">
        <v>663</v>
      </c>
    </row>
    <row r="54" spans="1:8" ht="165" customHeight="1">
      <c r="A54" s="41" t="s">
        <v>1237</v>
      </c>
      <c r="B54" s="41" t="s">
        <v>1178</v>
      </c>
      <c r="C54" s="41" t="s">
        <v>17</v>
      </c>
      <c r="D54" s="41" t="s">
        <v>184</v>
      </c>
      <c r="E54" s="41" t="s">
        <v>1238</v>
      </c>
      <c r="F54" s="41" t="s">
        <v>1239</v>
      </c>
      <c r="G54" s="41" t="s">
        <v>1240</v>
      </c>
      <c r="H54" s="41" t="s">
        <v>506</v>
      </c>
    </row>
    <row r="55" spans="1:8" ht="165" customHeight="1">
      <c r="A55" s="40" t="s">
        <v>1241</v>
      </c>
      <c r="B55" s="40" t="s">
        <v>1178</v>
      </c>
      <c r="C55" s="40" t="s">
        <v>17</v>
      </c>
      <c r="D55" s="40" t="s">
        <v>184</v>
      </c>
      <c r="E55" s="40" t="s">
        <v>1242</v>
      </c>
      <c r="F55" s="40" t="s">
        <v>1243</v>
      </c>
      <c r="G55" s="40" t="s">
        <v>1244</v>
      </c>
      <c r="H55" s="40" t="s">
        <v>506</v>
      </c>
    </row>
    <row r="56" spans="1:8" ht="170.05" customHeight="1">
      <c r="A56" s="41" t="s">
        <v>1245</v>
      </c>
      <c r="B56" s="41" t="s">
        <v>1178</v>
      </c>
      <c r="C56" s="41" t="s">
        <v>1224</v>
      </c>
      <c r="D56" s="41" t="s">
        <v>373</v>
      </c>
      <c r="E56" s="41" t="s">
        <v>1246</v>
      </c>
      <c r="F56" s="41" t="s">
        <v>1247</v>
      </c>
      <c r="G56" s="41" t="s">
        <v>1248</v>
      </c>
      <c r="H56" s="41" t="s">
        <v>663</v>
      </c>
    </row>
    <row r="57" spans="1:8" ht="145" customHeight="1">
      <c r="A57" s="40" t="s">
        <v>1249</v>
      </c>
      <c r="B57" s="40" t="s">
        <v>1178</v>
      </c>
      <c r="C57" s="40" t="s">
        <v>1224</v>
      </c>
      <c r="D57" s="40" t="s">
        <v>373</v>
      </c>
      <c r="E57" s="40" t="s">
        <v>1250</v>
      </c>
      <c r="F57" s="40" t="s">
        <v>1251</v>
      </c>
      <c r="G57" s="40" t="s">
        <v>1252</v>
      </c>
      <c r="H57" s="40" t="s">
        <v>663</v>
      </c>
    </row>
    <row r="58" spans="1:8" ht="165" customHeight="1">
      <c r="A58" s="41" t="s">
        <v>1253</v>
      </c>
      <c r="B58" s="41" t="s">
        <v>1178</v>
      </c>
      <c r="C58" s="41" t="s">
        <v>1224</v>
      </c>
      <c r="D58" s="41" t="s">
        <v>310</v>
      </c>
      <c r="E58" s="41" t="s">
        <v>1254</v>
      </c>
      <c r="F58" s="41" t="s">
        <v>1255</v>
      </c>
      <c r="G58" s="41" t="s">
        <v>1256</v>
      </c>
      <c r="H58" s="41" t="s">
        <v>1257</v>
      </c>
    </row>
    <row r="59" spans="1:8" ht="145" customHeight="1">
      <c r="A59" s="40" t="s">
        <v>1258</v>
      </c>
      <c r="B59" s="40" t="s">
        <v>1184</v>
      </c>
      <c r="C59" s="40" t="s">
        <v>17</v>
      </c>
      <c r="D59" s="40" t="s">
        <v>1207</v>
      </c>
      <c r="E59" s="40" t="s">
        <v>1259</v>
      </c>
      <c r="F59" s="40" t="s">
        <v>1260</v>
      </c>
      <c r="G59" s="40" t="s">
        <v>1261</v>
      </c>
      <c r="H59" s="40" t="s">
        <v>506</v>
      </c>
    </row>
    <row r="60" spans="1:8" ht="120" customHeight="1">
      <c r="A60" s="41" t="s">
        <v>1262</v>
      </c>
      <c r="B60" s="41" t="s">
        <v>1184</v>
      </c>
      <c r="C60" s="41" t="s">
        <v>17</v>
      </c>
      <c r="D60" s="41" t="s">
        <v>1207</v>
      </c>
      <c r="E60" s="41" t="s">
        <v>1263</v>
      </c>
      <c r="F60" s="41" t="s">
        <v>1264</v>
      </c>
      <c r="G60" s="41" t="s">
        <v>1265</v>
      </c>
      <c r="H60" s="41" t="s">
        <v>506</v>
      </c>
    </row>
    <row r="61" spans="1:8">
      <c r="A61" t="s">
        <v>1266</v>
      </c>
      <c r="B61" t="s">
        <v>1184</v>
      </c>
      <c r="C61" t="s">
        <v>17</v>
      </c>
      <c r="D61" t="s">
        <v>184</v>
      </c>
      <c r="E61" t="s">
        <v>1267</v>
      </c>
      <c r="F61" t="s">
        <v>1268</v>
      </c>
      <c r="G61" t="s">
        <v>1269</v>
      </c>
      <c r="H61" t="s">
        <v>506</v>
      </c>
    </row>
    <row r="62" spans="1:8">
      <c r="A62" t="s">
        <v>1270</v>
      </c>
      <c r="B62" t="s">
        <v>1271</v>
      </c>
      <c r="C62" t="s">
        <v>17</v>
      </c>
      <c r="D62" t="s">
        <v>184</v>
      </c>
      <c r="E62" t="s">
        <v>1272</v>
      </c>
      <c r="F62" t="s">
        <v>1273</v>
      </c>
      <c r="G62" t="s">
        <v>1274</v>
      </c>
      <c r="H62" t="s">
        <v>1275</v>
      </c>
    </row>
    <row r="63" spans="1:8">
      <c r="A63" t="s">
        <v>1276</v>
      </c>
      <c r="B63" t="s">
        <v>1277</v>
      </c>
      <c r="C63" t="s">
        <v>17</v>
      </c>
      <c r="D63" t="s">
        <v>184</v>
      </c>
      <c r="E63" t="s">
        <v>1272</v>
      </c>
      <c r="F63" t="s">
        <v>1278</v>
      </c>
      <c r="G63" t="s">
        <v>1279</v>
      </c>
      <c r="H63" t="s">
        <v>1275</v>
      </c>
    </row>
    <row r="64" spans="1:8">
      <c r="A64" t="s">
        <v>1280</v>
      </c>
      <c r="B64" t="s">
        <v>1281</v>
      </c>
      <c r="C64" t="s">
        <v>1224</v>
      </c>
      <c r="D64" t="s">
        <v>1282</v>
      </c>
      <c r="E64" t="s">
        <v>1283</v>
      </c>
      <c r="F64" t="s">
        <v>1284</v>
      </c>
      <c r="G64" t="s">
        <v>1285</v>
      </c>
      <c r="H64" t="s">
        <v>1286</v>
      </c>
    </row>
    <row r="65" spans="1:10">
      <c r="A65" t="s">
        <v>1287</v>
      </c>
      <c r="B65" t="s">
        <v>1288</v>
      </c>
      <c r="C65" t="s">
        <v>1289</v>
      </c>
      <c r="D65" t="s">
        <v>51</v>
      </c>
      <c r="E65" t="s">
        <v>1290</v>
      </c>
      <c r="F65" t="s">
        <v>1291</v>
      </c>
      <c r="G65" t="s">
        <v>1292</v>
      </c>
      <c r="H65" t="s">
        <v>1275</v>
      </c>
    </row>
    <row r="66" spans="1:10">
      <c r="A66" t="s">
        <v>1293</v>
      </c>
      <c r="B66" t="s">
        <v>1294</v>
      </c>
      <c r="C66" t="s">
        <v>17</v>
      </c>
      <c r="D66" t="s">
        <v>220</v>
      </c>
      <c r="E66" t="s">
        <v>221</v>
      </c>
      <c r="F66" t="s">
        <v>222</v>
      </c>
      <c r="G66" t="s">
        <v>1295</v>
      </c>
      <c r="H66" t="s">
        <v>506</v>
      </c>
    </row>
    <row r="67" spans="1:10">
      <c r="A67" t="s">
        <v>1296</v>
      </c>
      <c r="B67" t="s">
        <v>1297</v>
      </c>
      <c r="C67" t="s">
        <v>268</v>
      </c>
      <c r="D67" t="s">
        <v>1298</v>
      </c>
      <c r="E67" t="s">
        <v>1299</v>
      </c>
      <c r="F67" t="s">
        <v>1300</v>
      </c>
      <c r="G67" t="s">
        <v>1301</v>
      </c>
      <c r="H67" t="s">
        <v>506</v>
      </c>
    </row>
    <row r="68" spans="1:10">
      <c r="A68" t="s">
        <v>1302</v>
      </c>
      <c r="B68" t="s">
        <v>1303</v>
      </c>
      <c r="C68" t="s">
        <v>17</v>
      </c>
      <c r="D68" t="s">
        <v>1304</v>
      </c>
      <c r="E68" t="s">
        <v>1305</v>
      </c>
      <c r="F68" t="s">
        <v>1306</v>
      </c>
      <c r="G68" t="s">
        <v>1307</v>
      </c>
      <c r="H68" t="s">
        <v>506</v>
      </c>
    </row>
    <row r="69" spans="1:10" ht="42.45">
      <c r="A69" s="33" t="s">
        <v>1190</v>
      </c>
      <c r="B69" s="33" t="s">
        <v>1308</v>
      </c>
      <c r="C69" s="33" t="s">
        <v>1309</v>
      </c>
      <c r="D69" s="33" t="s">
        <v>1310</v>
      </c>
      <c r="E69" s="33" t="s">
        <v>1311</v>
      </c>
      <c r="F69" s="33" t="s">
        <v>1312</v>
      </c>
      <c r="G69" s="33" t="s">
        <v>1313</v>
      </c>
      <c r="H69" s="33" t="s">
        <v>1314</v>
      </c>
      <c r="I69" s="33"/>
      <c r="J69" s="33"/>
    </row>
    <row r="70" spans="1:10" ht="42.45">
      <c r="A70" s="33" t="s">
        <v>1190</v>
      </c>
      <c r="B70" s="33" t="s">
        <v>1315</v>
      </c>
      <c r="C70" s="33" t="s">
        <v>1316</v>
      </c>
      <c r="D70" s="33" t="s">
        <v>1317</v>
      </c>
      <c r="E70" s="33" t="s">
        <v>1318</v>
      </c>
      <c r="F70" s="33" t="s">
        <v>1319</v>
      </c>
      <c r="G70" s="33" t="s">
        <v>1320</v>
      </c>
      <c r="H70" s="33" t="s">
        <v>1321</v>
      </c>
      <c r="I70" s="33"/>
      <c r="J70" s="33"/>
    </row>
    <row r="71" spans="1:10" ht="42.45">
      <c r="A71" s="33" t="s">
        <v>1190</v>
      </c>
      <c r="B71" s="33" t="s">
        <v>1322</v>
      </c>
      <c r="C71" s="33" t="s">
        <v>1323</v>
      </c>
      <c r="D71" s="33" t="s">
        <v>1324</v>
      </c>
      <c r="E71" s="33" t="s">
        <v>1325</v>
      </c>
      <c r="F71" s="33" t="s">
        <v>1326</v>
      </c>
      <c r="G71" s="33" t="s">
        <v>1327</v>
      </c>
      <c r="H71" s="33" t="s">
        <v>1328</v>
      </c>
      <c r="I71" s="33"/>
      <c r="J71" s="33"/>
    </row>
    <row r="72" spans="1:10" ht="42.45">
      <c r="A72" s="33" t="s">
        <v>1190</v>
      </c>
      <c r="B72" s="33" t="s">
        <v>1329</v>
      </c>
      <c r="C72" s="33" t="s">
        <v>1330</v>
      </c>
      <c r="D72" s="33" t="s">
        <v>1331</v>
      </c>
      <c r="E72" s="33" t="s">
        <v>1332</v>
      </c>
      <c r="F72" s="33" t="s">
        <v>1333</v>
      </c>
      <c r="G72" s="33" t="s">
        <v>1334</v>
      </c>
      <c r="H72" s="33" t="s">
        <v>983</v>
      </c>
      <c r="I72" s="33"/>
      <c r="J72" s="33"/>
    </row>
    <row r="73" spans="1:10" ht="56.6">
      <c r="A73" s="33" t="s">
        <v>1190</v>
      </c>
      <c r="B73" s="33" t="s">
        <v>1335</v>
      </c>
      <c r="C73" s="33" t="s">
        <v>1336</v>
      </c>
      <c r="D73" s="33" t="s">
        <v>1337</v>
      </c>
      <c r="E73" s="33" t="s">
        <v>1338</v>
      </c>
      <c r="F73" s="33" t="s">
        <v>1339</v>
      </c>
      <c r="G73" s="33" t="s">
        <v>1340</v>
      </c>
      <c r="H73" s="33" t="s">
        <v>988</v>
      </c>
      <c r="I73" s="33"/>
      <c r="J73" s="33"/>
    </row>
    <row r="74" spans="1:10" ht="56.6">
      <c r="A74" s="33" t="s">
        <v>1190</v>
      </c>
      <c r="B74" s="33" t="s">
        <v>1341</v>
      </c>
      <c r="C74" s="33" t="s">
        <v>1342</v>
      </c>
      <c r="D74" s="33" t="s">
        <v>1343</v>
      </c>
      <c r="E74" s="33" t="s">
        <v>1344</v>
      </c>
      <c r="F74" s="33" t="s">
        <v>1339</v>
      </c>
      <c r="G74" s="33" t="s">
        <v>1345</v>
      </c>
      <c r="H74" s="33" t="s">
        <v>993</v>
      </c>
      <c r="I74" s="33"/>
      <c r="J74" s="33"/>
    </row>
    <row r="75" spans="1:10" ht="56.6">
      <c r="A75" s="33" t="s">
        <v>1190</v>
      </c>
      <c r="B75" s="33" t="s">
        <v>1346</v>
      </c>
      <c r="C75" s="33" t="s">
        <v>1347</v>
      </c>
      <c r="D75" s="33" t="s">
        <v>1348</v>
      </c>
      <c r="E75" s="33" t="s">
        <v>1349</v>
      </c>
      <c r="F75" s="33" t="s">
        <v>1350</v>
      </c>
      <c r="G75" s="33" t="s">
        <v>1351</v>
      </c>
      <c r="H75" s="33" t="s">
        <v>1352</v>
      </c>
      <c r="I75" s="33"/>
      <c r="J75" s="33"/>
    </row>
    <row r="76" spans="1:10" ht="42.45">
      <c r="A76" s="33" t="s">
        <v>1190</v>
      </c>
      <c r="B76" s="33" t="s">
        <v>1353</v>
      </c>
      <c r="C76" s="33" t="s">
        <v>1354</v>
      </c>
      <c r="D76" s="33" t="s">
        <v>1355</v>
      </c>
      <c r="E76" s="33" t="s">
        <v>1338</v>
      </c>
      <c r="F76" s="33" t="s">
        <v>1356</v>
      </c>
      <c r="G76" s="33" t="s">
        <v>1357</v>
      </c>
      <c r="H76" s="33" t="s">
        <v>1358</v>
      </c>
      <c r="I76" s="33"/>
      <c r="J76" s="33"/>
    </row>
    <row r="77" spans="1:10" ht="42.45">
      <c r="A77" s="33" t="s">
        <v>1190</v>
      </c>
      <c r="B77" s="33" t="s">
        <v>1359</v>
      </c>
      <c r="C77" s="33" t="s">
        <v>1360</v>
      </c>
      <c r="D77" s="33" t="s">
        <v>1361</v>
      </c>
      <c r="E77" s="33" t="s">
        <v>1362</v>
      </c>
      <c r="F77" s="33" t="s">
        <v>1363</v>
      </c>
      <c r="G77" s="33" t="s">
        <v>1364</v>
      </c>
      <c r="H77" s="33" t="s">
        <v>1314</v>
      </c>
      <c r="I77" s="33"/>
      <c r="J77" s="33"/>
    </row>
    <row r="78" spans="1:10" ht="78.75" customHeight="1">
      <c r="A78" s="33" t="s">
        <v>2002</v>
      </c>
      <c r="B78" s="33" t="s">
        <v>2003</v>
      </c>
      <c r="C78" s="33" t="s">
        <v>2004</v>
      </c>
      <c r="D78" s="33" t="s">
        <v>2005</v>
      </c>
      <c r="E78" s="33" t="s">
        <v>2006</v>
      </c>
      <c r="F78" s="33" t="s">
        <v>2007</v>
      </c>
      <c r="G78" s="33" t="s">
        <v>2008</v>
      </c>
      <c r="H78" s="33"/>
      <c r="I78" s="33"/>
      <c r="J78" s="33"/>
    </row>
    <row r="79" spans="1:10" ht="93.75" customHeight="1">
      <c r="A79" s="33" t="s">
        <v>2009</v>
      </c>
      <c r="B79" s="33" t="s">
        <v>2010</v>
      </c>
      <c r="C79" s="33" t="s">
        <v>2011</v>
      </c>
      <c r="D79" s="33" t="s">
        <v>2012</v>
      </c>
      <c r="E79" s="33" t="s">
        <v>2013</v>
      </c>
      <c r="F79" s="33" t="s">
        <v>2014</v>
      </c>
      <c r="G79" s="33" t="s">
        <v>2015</v>
      </c>
      <c r="H79" s="33" t="s">
        <v>2016</v>
      </c>
      <c r="I79" s="33" t="s">
        <v>2017</v>
      </c>
      <c r="J79" s="33" t="s">
        <v>2018</v>
      </c>
    </row>
    <row r="80" spans="1:10" ht="108.75" customHeight="1">
      <c r="A80" s="33" t="s">
        <v>2019</v>
      </c>
      <c r="B80" s="33" t="s">
        <v>2020</v>
      </c>
      <c r="C80" s="33" t="s">
        <v>2021</v>
      </c>
      <c r="D80" s="33" t="s">
        <v>2022</v>
      </c>
      <c r="E80" s="33" t="s">
        <v>2013</v>
      </c>
      <c r="F80" s="33" t="s">
        <v>2023</v>
      </c>
      <c r="G80" s="33" t="s">
        <v>2024</v>
      </c>
      <c r="H80" s="33" t="s">
        <v>2025</v>
      </c>
      <c r="I80" s="33" t="s">
        <v>2026</v>
      </c>
      <c r="J80" s="33" t="s">
        <v>2027</v>
      </c>
    </row>
    <row r="81" spans="1:6" ht="67.5" customHeight="1">
      <c r="A81" s="33" t="s">
        <v>2028</v>
      </c>
      <c r="B81" s="33" t="s">
        <v>2029</v>
      </c>
      <c r="C81" s="33" t="s">
        <v>2030</v>
      </c>
      <c r="D81" s="33" t="s">
        <v>2031</v>
      </c>
      <c r="E81" s="33" t="s">
        <v>2032</v>
      </c>
      <c r="F81" s="33" t="s">
        <v>2033</v>
      </c>
    </row>
  </sheetData>
  <mergeCells count="2">
    <mergeCell ref="A2:F2"/>
    <mergeCell ref="A44:H44"/>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3"/>
  <sheetViews>
    <sheetView showGridLines="0" zoomScale="59" zoomScaleNormal="59" workbookViewId="0">
      <selection activeCell="I12" sqref="I12"/>
    </sheetView>
  </sheetViews>
  <sheetFormatPr baseColWidth="10" defaultColWidth="9.140625" defaultRowHeight="14.15"/>
  <cols>
    <col min="1" max="1" width="28" customWidth="1"/>
    <col min="2" max="8" width="14.28515625" customWidth="1"/>
    <col min="9" max="9" width="57.42578125" customWidth="1"/>
  </cols>
  <sheetData>
    <row r="1" spans="1:8" ht="30" customHeight="1">
      <c r="A1" s="134" t="s">
        <v>1365</v>
      </c>
      <c r="B1" s="134"/>
      <c r="C1" s="134"/>
      <c r="D1" s="134"/>
      <c r="E1" s="134"/>
      <c r="F1" s="134"/>
      <c r="G1" s="134"/>
      <c r="H1" s="134"/>
    </row>
    <row r="2" spans="1:8">
      <c r="A2" s="133" t="s">
        <v>1366</v>
      </c>
      <c r="B2" s="133"/>
      <c r="C2" s="133"/>
      <c r="D2" s="133"/>
      <c r="E2" s="133"/>
      <c r="F2" s="133"/>
      <c r="G2" s="133"/>
      <c r="H2" s="133"/>
    </row>
    <row r="3" spans="1:8" ht="17.600000000000001" customHeight="1">
      <c r="A3" s="18" t="s">
        <v>1367</v>
      </c>
      <c r="B3" s="129">
        <v>1</v>
      </c>
      <c r="C3" s="129"/>
      <c r="D3" s="129"/>
      <c r="E3" s="129"/>
      <c r="F3" s="129"/>
      <c r="G3" s="129"/>
      <c r="H3" s="129"/>
    </row>
    <row r="4" spans="1:8" ht="17.600000000000001" customHeight="1">
      <c r="A4" s="18" t="s">
        <v>1</v>
      </c>
      <c r="B4" s="129" t="s">
        <v>17</v>
      </c>
      <c r="C4" s="129"/>
      <c r="D4" s="129"/>
      <c r="E4" s="129"/>
      <c r="F4" s="129"/>
      <c r="G4" s="129"/>
      <c r="H4" s="129"/>
    </row>
    <row r="5" spans="1:8" ht="17.600000000000001" customHeight="1">
      <c r="A5" s="18" t="s">
        <v>1368</v>
      </c>
      <c r="B5" s="129" t="s">
        <v>1369</v>
      </c>
      <c r="C5" s="129"/>
      <c r="D5" s="129"/>
      <c r="E5" s="129"/>
      <c r="F5" s="129"/>
      <c r="G5" s="129"/>
      <c r="H5" s="129"/>
    </row>
    <row r="6" spans="1:8" ht="161.25" customHeight="1">
      <c r="A6" s="19" t="s">
        <v>1370</v>
      </c>
      <c r="B6" s="130" t="s">
        <v>2034</v>
      </c>
      <c r="C6" s="131"/>
      <c r="D6" s="131"/>
      <c r="E6" s="131"/>
      <c r="F6" s="131"/>
      <c r="G6" s="131"/>
      <c r="H6" s="132"/>
    </row>
    <row r="7" spans="1:8" ht="102" customHeight="1">
      <c r="A7" s="19" t="s">
        <v>2037</v>
      </c>
      <c r="B7" s="135" t="s">
        <v>2036</v>
      </c>
      <c r="C7" s="135"/>
      <c r="D7" s="135"/>
      <c r="E7" s="135"/>
      <c r="F7" s="135"/>
      <c r="G7" s="135"/>
      <c r="H7" s="135"/>
    </row>
    <row r="8" spans="1:8">
      <c r="A8" s="133" t="s">
        <v>1371</v>
      </c>
      <c r="B8" s="133"/>
      <c r="C8" s="133"/>
      <c r="D8" s="133"/>
      <c r="E8" s="133"/>
      <c r="F8" s="133"/>
      <c r="G8" s="133"/>
      <c r="H8" s="133"/>
    </row>
    <row r="9" spans="1:8" ht="21.55" customHeight="1">
      <c r="A9" s="18" t="s">
        <v>1367</v>
      </c>
      <c r="B9" s="129">
        <v>2</v>
      </c>
      <c r="C9" s="129"/>
      <c r="D9" s="129"/>
      <c r="E9" s="129"/>
      <c r="F9" s="129"/>
      <c r="G9" s="129"/>
      <c r="H9" s="129"/>
    </row>
    <row r="10" spans="1:8" ht="21.55" customHeight="1">
      <c r="A10" s="18" t="s">
        <v>1</v>
      </c>
      <c r="B10" s="129" t="s">
        <v>268</v>
      </c>
      <c r="C10" s="129"/>
      <c r="D10" s="129"/>
      <c r="E10" s="129"/>
      <c r="F10" s="129"/>
      <c r="G10" s="129"/>
      <c r="H10" s="129"/>
    </row>
    <row r="11" spans="1:8" ht="21.55" customHeight="1">
      <c r="A11" s="18" t="s">
        <v>1368</v>
      </c>
      <c r="B11" s="129" t="s">
        <v>1369</v>
      </c>
      <c r="C11" s="129"/>
      <c r="D11" s="129"/>
      <c r="E11" s="129"/>
      <c r="F11" s="129"/>
      <c r="G11" s="129"/>
      <c r="H11" s="129"/>
    </row>
    <row r="12" spans="1:8" s="84" customFormat="1" ht="164.6" customHeight="1">
      <c r="A12" s="83" t="s">
        <v>1370</v>
      </c>
      <c r="B12" s="126" t="s">
        <v>2035</v>
      </c>
      <c r="C12" s="127"/>
      <c r="D12" s="127"/>
      <c r="E12" s="127"/>
      <c r="F12" s="127"/>
      <c r="G12" s="127"/>
      <c r="H12" s="128"/>
    </row>
    <row r="13" spans="1:8" ht="96.45" customHeight="1">
      <c r="A13" s="19" t="s">
        <v>2037</v>
      </c>
      <c r="B13" s="135" t="s">
        <v>2038</v>
      </c>
      <c r="C13" s="135"/>
      <c r="D13" s="135"/>
      <c r="E13" s="135"/>
      <c r="F13" s="135"/>
      <c r="G13" s="135"/>
      <c r="H13" s="135"/>
    </row>
  </sheetData>
  <mergeCells count="13">
    <mergeCell ref="B13:H13"/>
    <mergeCell ref="A1:H1"/>
    <mergeCell ref="A2:H2"/>
    <mergeCell ref="B3:H3"/>
    <mergeCell ref="B4:H4"/>
    <mergeCell ref="B5:H5"/>
    <mergeCell ref="B12:H12"/>
    <mergeCell ref="B11:H11"/>
    <mergeCell ref="B6:H6"/>
    <mergeCell ref="A8:H8"/>
    <mergeCell ref="B9:H9"/>
    <mergeCell ref="B10:H10"/>
    <mergeCell ref="B7:H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68"/>
  <sheetViews>
    <sheetView showGridLines="0" workbookViewId="0"/>
  </sheetViews>
  <sheetFormatPr baseColWidth="10" defaultColWidth="9.140625" defaultRowHeight="14.15"/>
  <cols>
    <col min="1" max="1" width="12" style="30" customWidth="1"/>
    <col min="2" max="2" width="10" style="30" customWidth="1"/>
    <col min="3" max="3" width="27" style="30" customWidth="1"/>
    <col min="4" max="4" width="31" style="30" customWidth="1"/>
    <col min="5" max="5" width="25" style="30" customWidth="1"/>
    <col min="6" max="6" width="34" style="30" customWidth="1"/>
    <col min="7" max="7" width="36" style="30" customWidth="1"/>
    <col min="8" max="8" width="34" style="30" customWidth="1"/>
    <col min="9" max="9" width="18" style="30" customWidth="1"/>
    <col min="10" max="10" width="16" style="30" customWidth="1"/>
    <col min="11" max="11" width="14" style="30" customWidth="1"/>
    <col min="12" max="12" width="12" style="30" customWidth="1"/>
    <col min="13" max="15" width="15" style="30" customWidth="1"/>
    <col min="16" max="16" width="17" style="30" customWidth="1"/>
    <col min="17" max="17" width="28" style="30" customWidth="1"/>
    <col min="18" max="18" width="25" style="30" customWidth="1"/>
    <col min="19" max="19" width="32" style="30" customWidth="1"/>
    <col min="20" max="20" width="24" style="30" customWidth="1"/>
    <col min="21" max="21" width="38" style="30" customWidth="1"/>
    <col min="22" max="22" width="30" style="30" customWidth="1"/>
    <col min="23" max="23" width="28" style="30" customWidth="1"/>
    <col min="24" max="24" width="34" style="30" customWidth="1"/>
    <col min="25" max="25" width="42" style="30" customWidth="1"/>
    <col min="26" max="26" width="22" style="30" customWidth="1"/>
    <col min="27" max="27" width="38" style="30" customWidth="1"/>
    <col min="28" max="16384" width="9.140625" style="30"/>
  </cols>
  <sheetData>
    <row r="1" spans="1:27" ht="48" customHeight="1">
      <c r="A1" s="48" t="s">
        <v>0</v>
      </c>
      <c r="B1" s="48" t="s">
        <v>1</v>
      </c>
      <c r="C1" s="48" t="s">
        <v>2</v>
      </c>
      <c r="D1" s="48" t="s">
        <v>3</v>
      </c>
      <c r="E1" s="48" t="s">
        <v>4</v>
      </c>
      <c r="F1" s="48" t="s">
        <v>6</v>
      </c>
      <c r="G1" s="48" t="s">
        <v>5</v>
      </c>
      <c r="H1" s="48" t="s">
        <v>1372</v>
      </c>
      <c r="I1" s="48" t="s">
        <v>1373</v>
      </c>
      <c r="J1" s="48" t="s">
        <v>1374</v>
      </c>
      <c r="K1" s="48" t="s">
        <v>7</v>
      </c>
      <c r="L1" s="48" t="s">
        <v>8</v>
      </c>
      <c r="M1" s="48" t="s">
        <v>9</v>
      </c>
      <c r="N1" s="48" t="s">
        <v>10</v>
      </c>
      <c r="O1" s="48" t="s">
        <v>11</v>
      </c>
      <c r="P1" s="48" t="s">
        <v>12</v>
      </c>
      <c r="Q1" s="48" t="s">
        <v>464</v>
      </c>
      <c r="R1" s="48" t="s">
        <v>1375</v>
      </c>
      <c r="S1" s="48" t="s">
        <v>1376</v>
      </c>
      <c r="T1" s="48" t="s">
        <v>1377</v>
      </c>
      <c r="U1" s="48" t="s">
        <v>1378</v>
      </c>
      <c r="V1" s="48" t="s">
        <v>13</v>
      </c>
      <c r="W1" s="48" t="s">
        <v>15</v>
      </c>
      <c r="X1" s="48" t="s">
        <v>14</v>
      </c>
      <c r="Y1" s="48" t="s">
        <v>1379</v>
      </c>
      <c r="Z1" s="48" t="s">
        <v>1380</v>
      </c>
      <c r="AA1" s="48" t="s">
        <v>1381</v>
      </c>
    </row>
    <row r="2" spans="1:27" ht="76" customHeight="1">
      <c r="A2" s="49" t="s">
        <v>16</v>
      </c>
      <c r="B2" s="49" t="s">
        <v>17</v>
      </c>
      <c r="C2" s="49" t="s">
        <v>18</v>
      </c>
      <c r="D2" s="49" t="s">
        <v>19</v>
      </c>
      <c r="E2" s="49" t="s">
        <v>20</v>
      </c>
      <c r="F2" s="49" t="s">
        <v>22</v>
      </c>
      <c r="G2" s="49" t="s">
        <v>21</v>
      </c>
      <c r="H2" s="49" t="s">
        <v>1382</v>
      </c>
      <c r="I2" s="49" t="s">
        <v>1383</v>
      </c>
      <c r="J2" s="49" t="s">
        <v>1383</v>
      </c>
      <c r="K2" s="49" t="s">
        <v>23</v>
      </c>
      <c r="L2" s="50">
        <v>1</v>
      </c>
      <c r="M2" s="51">
        <v>15</v>
      </c>
      <c r="N2" s="52">
        <f t="shared" ref="N2:N53" si="0">IF(OR(L2="",M2=""),"",L2*M2/60)</f>
        <v>0.25</v>
      </c>
      <c r="O2" s="53">
        <v>50</v>
      </c>
      <c r="P2" s="54">
        <f t="shared" ref="P2:P53" si="1">IF(OR(N2="",O2=""),"",N2*O2)</f>
        <v>12.5</v>
      </c>
      <c r="Q2" s="55" t="s">
        <v>1384</v>
      </c>
      <c r="R2" s="55" t="s">
        <v>466</v>
      </c>
      <c r="S2" s="55" t="s">
        <v>1385</v>
      </c>
      <c r="T2" s="55" t="s">
        <v>1386</v>
      </c>
      <c r="U2" s="55" t="s">
        <v>1387</v>
      </c>
      <c r="V2" s="55" t="s">
        <v>24</v>
      </c>
      <c r="W2" s="55" t="s">
        <v>26</v>
      </c>
      <c r="X2" s="55" t="s">
        <v>25</v>
      </c>
      <c r="Y2" s="55" t="s">
        <v>1388</v>
      </c>
      <c r="Z2" s="49" t="s">
        <v>1389</v>
      </c>
      <c r="AA2" s="49" t="s">
        <v>1390</v>
      </c>
    </row>
    <row r="3" spans="1:27" ht="52" customHeight="1">
      <c r="A3" s="49" t="s">
        <v>27</v>
      </c>
      <c r="B3" s="49" t="s">
        <v>17</v>
      </c>
      <c r="C3" s="49" t="s">
        <v>18</v>
      </c>
      <c r="D3" s="49" t="s">
        <v>19</v>
      </c>
      <c r="E3" s="49" t="s">
        <v>28</v>
      </c>
      <c r="F3" s="49" t="s">
        <v>30</v>
      </c>
      <c r="G3" s="49" t="s">
        <v>29</v>
      </c>
      <c r="H3" s="49" t="s">
        <v>1382</v>
      </c>
      <c r="I3" s="49" t="s">
        <v>1383</v>
      </c>
      <c r="J3" s="49" t="s">
        <v>1383</v>
      </c>
      <c r="K3" s="49" t="s">
        <v>23</v>
      </c>
      <c r="L3" s="50">
        <v>1</v>
      </c>
      <c r="M3" s="51">
        <v>30</v>
      </c>
      <c r="N3" s="52">
        <f t="shared" si="0"/>
        <v>0.5</v>
      </c>
      <c r="O3" s="53">
        <v>50</v>
      </c>
      <c r="P3" s="54">
        <f t="shared" si="1"/>
        <v>25</v>
      </c>
      <c r="Q3" s="49" t="s">
        <v>1391</v>
      </c>
      <c r="R3" s="49" t="s">
        <v>466</v>
      </c>
      <c r="S3" s="49" t="s">
        <v>1385</v>
      </c>
      <c r="T3" s="49" t="s">
        <v>1386</v>
      </c>
      <c r="U3" s="49" t="s">
        <v>1392</v>
      </c>
      <c r="V3" s="49" t="s">
        <v>31</v>
      </c>
      <c r="W3" s="49" t="s">
        <v>33</v>
      </c>
      <c r="X3" s="49" t="s">
        <v>32</v>
      </c>
      <c r="Y3" s="49" t="s">
        <v>1393</v>
      </c>
      <c r="Z3" s="49" t="s">
        <v>1394</v>
      </c>
      <c r="AA3" s="49" t="s">
        <v>1390</v>
      </c>
    </row>
    <row r="4" spans="1:27" ht="52" customHeight="1">
      <c r="A4" s="49" t="s">
        <v>34</v>
      </c>
      <c r="B4" s="49" t="s">
        <v>17</v>
      </c>
      <c r="C4" s="49" t="s">
        <v>18</v>
      </c>
      <c r="D4" s="49" t="s">
        <v>19</v>
      </c>
      <c r="E4" s="49" t="s">
        <v>28</v>
      </c>
      <c r="F4" s="49" t="s">
        <v>36</v>
      </c>
      <c r="G4" s="49" t="s">
        <v>35</v>
      </c>
      <c r="H4" s="49" t="s">
        <v>1382</v>
      </c>
      <c r="I4" s="49" t="s">
        <v>1383</v>
      </c>
      <c r="J4" s="49" t="s">
        <v>1383</v>
      </c>
      <c r="K4" s="49" t="s">
        <v>23</v>
      </c>
      <c r="L4" s="50">
        <v>1</v>
      </c>
      <c r="M4" s="51">
        <v>60</v>
      </c>
      <c r="N4" s="52">
        <f t="shared" si="0"/>
        <v>1</v>
      </c>
      <c r="O4" s="53">
        <v>50</v>
      </c>
      <c r="P4" s="54">
        <f t="shared" si="1"/>
        <v>50</v>
      </c>
      <c r="Q4" s="49" t="s">
        <v>1391</v>
      </c>
      <c r="R4" s="49" t="s">
        <v>466</v>
      </c>
      <c r="S4" s="49" t="s">
        <v>1385</v>
      </c>
      <c r="T4" s="49" t="s">
        <v>1386</v>
      </c>
      <c r="U4" s="49" t="s">
        <v>1395</v>
      </c>
      <c r="V4" s="49" t="s">
        <v>37</v>
      </c>
      <c r="W4" s="49" t="s">
        <v>39</v>
      </c>
      <c r="X4" s="49" t="s">
        <v>38</v>
      </c>
      <c r="Y4" s="49" t="s">
        <v>1396</v>
      </c>
      <c r="Z4" s="49" t="s">
        <v>1397</v>
      </c>
      <c r="AA4" s="49" t="s">
        <v>1390</v>
      </c>
    </row>
    <row r="5" spans="1:27" ht="76" customHeight="1">
      <c r="A5" s="49" t="s">
        <v>40</v>
      </c>
      <c r="B5" s="49" t="s">
        <v>17</v>
      </c>
      <c r="C5" s="49" t="s">
        <v>18</v>
      </c>
      <c r="D5" s="49" t="s">
        <v>19</v>
      </c>
      <c r="E5" s="49" t="s">
        <v>28</v>
      </c>
      <c r="F5" s="49" t="s">
        <v>42</v>
      </c>
      <c r="G5" s="49" t="s">
        <v>41</v>
      </c>
      <c r="H5" s="49" t="s">
        <v>1382</v>
      </c>
      <c r="I5" s="49" t="s">
        <v>1383</v>
      </c>
      <c r="J5" s="49" t="s">
        <v>1383</v>
      </c>
      <c r="K5" s="49" t="s">
        <v>23</v>
      </c>
      <c r="L5" s="50">
        <v>1</v>
      </c>
      <c r="M5" s="51">
        <v>15</v>
      </c>
      <c r="N5" s="52">
        <f t="shared" si="0"/>
        <v>0.25</v>
      </c>
      <c r="O5" s="53">
        <v>50</v>
      </c>
      <c r="P5" s="54">
        <f t="shared" si="1"/>
        <v>12.5</v>
      </c>
      <c r="Q5" s="55" t="s">
        <v>1384</v>
      </c>
      <c r="R5" s="55" t="s">
        <v>466</v>
      </c>
      <c r="S5" s="55" t="s">
        <v>1385</v>
      </c>
      <c r="T5" s="55" t="s">
        <v>1386</v>
      </c>
      <c r="U5" s="55" t="s">
        <v>1398</v>
      </c>
      <c r="V5" s="55" t="s">
        <v>43</v>
      </c>
      <c r="W5" s="55" t="s">
        <v>45</v>
      </c>
      <c r="X5" s="55" t="s">
        <v>44</v>
      </c>
      <c r="Y5" s="55" t="s">
        <v>1399</v>
      </c>
      <c r="Z5" s="49" t="s">
        <v>1400</v>
      </c>
      <c r="AA5" s="49" t="s">
        <v>1390</v>
      </c>
    </row>
    <row r="6" spans="1:27" ht="52" hidden="1" customHeight="1">
      <c r="A6" s="49" t="s">
        <v>1401</v>
      </c>
      <c r="B6" s="49" t="s">
        <v>17</v>
      </c>
      <c r="C6" s="49" t="s">
        <v>18</v>
      </c>
      <c r="D6" s="49" t="s">
        <v>19</v>
      </c>
      <c r="E6" s="49" t="s">
        <v>216</v>
      </c>
      <c r="F6" s="49" t="s">
        <v>1402</v>
      </c>
      <c r="G6" s="49" t="s">
        <v>1403</v>
      </c>
      <c r="H6" s="49" t="s">
        <v>1404</v>
      </c>
      <c r="I6" s="49" t="s">
        <v>1405</v>
      </c>
      <c r="J6" s="56" t="s">
        <v>1405</v>
      </c>
      <c r="K6" s="49" t="s">
        <v>159</v>
      </c>
      <c r="L6" s="50">
        <v>1</v>
      </c>
      <c r="M6" s="51">
        <v>30</v>
      </c>
      <c r="N6" s="52">
        <f t="shared" si="0"/>
        <v>0.5</v>
      </c>
      <c r="O6" s="53">
        <v>25</v>
      </c>
      <c r="P6" s="54">
        <f t="shared" si="1"/>
        <v>12.5</v>
      </c>
      <c r="Q6" s="49" t="s">
        <v>1406</v>
      </c>
      <c r="R6" s="49" t="s">
        <v>466</v>
      </c>
      <c r="S6" s="49" t="s">
        <v>1385</v>
      </c>
      <c r="T6" s="49" t="s">
        <v>1386</v>
      </c>
      <c r="U6" s="49" t="s">
        <v>1407</v>
      </c>
      <c r="V6" s="49" t="s">
        <v>1408</v>
      </c>
      <c r="W6" s="49" t="s">
        <v>1409</v>
      </c>
      <c r="X6" s="49" t="s">
        <v>1410</v>
      </c>
      <c r="Y6" s="49"/>
      <c r="Z6" s="49" t="s">
        <v>1411</v>
      </c>
      <c r="AA6" s="49" t="s">
        <v>1390</v>
      </c>
    </row>
    <row r="7" spans="1:27" ht="52" hidden="1" customHeight="1">
      <c r="A7" s="49" t="s">
        <v>1412</v>
      </c>
      <c r="B7" s="49" t="s">
        <v>17</v>
      </c>
      <c r="C7" s="49" t="s">
        <v>18</v>
      </c>
      <c r="D7" s="49" t="s">
        <v>1413</v>
      </c>
      <c r="E7" s="49" t="s">
        <v>216</v>
      </c>
      <c r="F7" s="49" t="s">
        <v>1414</v>
      </c>
      <c r="G7" s="49" t="s">
        <v>1415</v>
      </c>
      <c r="H7" s="49" t="s">
        <v>1404</v>
      </c>
      <c r="I7" s="49" t="s">
        <v>1405</v>
      </c>
      <c r="J7" s="56" t="s">
        <v>1405</v>
      </c>
      <c r="K7" s="49" t="s">
        <v>159</v>
      </c>
      <c r="L7" s="50">
        <v>4</v>
      </c>
      <c r="M7" s="51">
        <v>60</v>
      </c>
      <c r="N7" s="52">
        <f t="shared" si="0"/>
        <v>4</v>
      </c>
      <c r="O7" s="53">
        <v>50</v>
      </c>
      <c r="P7" s="54">
        <f t="shared" si="1"/>
        <v>200</v>
      </c>
      <c r="Q7" s="49" t="s">
        <v>1406</v>
      </c>
      <c r="R7" s="49" t="s">
        <v>466</v>
      </c>
      <c r="S7" s="49" t="s">
        <v>1385</v>
      </c>
      <c r="T7" s="49" t="s">
        <v>1386</v>
      </c>
      <c r="U7" s="49" t="s">
        <v>1416</v>
      </c>
      <c r="V7" s="49" t="s">
        <v>31</v>
      </c>
      <c r="W7" s="49" t="s">
        <v>1417</v>
      </c>
      <c r="X7" s="49" t="s">
        <v>1418</v>
      </c>
      <c r="Y7" s="49"/>
      <c r="Z7" s="49" t="s">
        <v>1419</v>
      </c>
      <c r="AA7" s="49" t="s">
        <v>1390</v>
      </c>
    </row>
    <row r="8" spans="1:27" ht="52" hidden="1" customHeight="1">
      <c r="A8" s="49" t="s">
        <v>1420</v>
      </c>
      <c r="B8" s="49" t="s">
        <v>17</v>
      </c>
      <c r="C8" s="49" t="s">
        <v>18</v>
      </c>
      <c r="D8" s="49" t="s">
        <v>19</v>
      </c>
      <c r="E8" s="49" t="s">
        <v>216</v>
      </c>
      <c r="F8" s="49" t="s">
        <v>1421</v>
      </c>
      <c r="G8" s="49" t="s">
        <v>1422</v>
      </c>
      <c r="H8" s="49" t="s">
        <v>1404</v>
      </c>
      <c r="I8" s="49" t="s">
        <v>1405</v>
      </c>
      <c r="J8" s="56" t="s">
        <v>1405</v>
      </c>
      <c r="K8" s="49" t="s">
        <v>23</v>
      </c>
      <c r="L8" s="50">
        <v>1</v>
      </c>
      <c r="M8" s="51">
        <v>60</v>
      </c>
      <c r="N8" s="52">
        <f t="shared" si="0"/>
        <v>1</v>
      </c>
      <c r="O8" s="53">
        <v>25</v>
      </c>
      <c r="P8" s="54">
        <f t="shared" si="1"/>
        <v>25</v>
      </c>
      <c r="Q8" s="49" t="s">
        <v>1406</v>
      </c>
      <c r="R8" s="49" t="s">
        <v>466</v>
      </c>
      <c r="S8" s="49" t="s">
        <v>1385</v>
      </c>
      <c r="T8" s="49" t="s">
        <v>1386</v>
      </c>
      <c r="U8" s="49" t="s">
        <v>1423</v>
      </c>
      <c r="V8" s="49" t="s">
        <v>51</v>
      </c>
      <c r="W8" s="49" t="s">
        <v>1424</v>
      </c>
      <c r="X8" s="49" t="s">
        <v>1425</v>
      </c>
      <c r="Y8" s="49"/>
      <c r="Z8" s="49" t="s">
        <v>1426</v>
      </c>
      <c r="AA8" s="49" t="s">
        <v>1390</v>
      </c>
    </row>
    <row r="9" spans="1:27" ht="52" hidden="1" customHeight="1">
      <c r="A9" s="49" t="s">
        <v>1427</v>
      </c>
      <c r="B9" s="49" t="s">
        <v>17</v>
      </c>
      <c r="C9" s="49" t="s">
        <v>18</v>
      </c>
      <c r="D9" s="49" t="s">
        <v>19</v>
      </c>
      <c r="E9" s="49" t="s">
        <v>216</v>
      </c>
      <c r="F9" s="49" t="s">
        <v>1428</v>
      </c>
      <c r="G9" s="49" t="s">
        <v>1429</v>
      </c>
      <c r="H9" s="49" t="s">
        <v>1404</v>
      </c>
      <c r="I9" s="49" t="s">
        <v>1405</v>
      </c>
      <c r="J9" s="56" t="s">
        <v>1405</v>
      </c>
      <c r="K9" s="49" t="s">
        <v>23</v>
      </c>
      <c r="L9" s="50">
        <v>1</v>
      </c>
      <c r="M9" s="51">
        <v>180</v>
      </c>
      <c r="N9" s="52">
        <f t="shared" si="0"/>
        <v>3</v>
      </c>
      <c r="O9" s="53">
        <v>50</v>
      </c>
      <c r="P9" s="54">
        <f t="shared" si="1"/>
        <v>150</v>
      </c>
      <c r="Q9" s="49" t="s">
        <v>1406</v>
      </c>
      <c r="R9" s="49" t="s">
        <v>466</v>
      </c>
      <c r="S9" s="49" t="s">
        <v>1385</v>
      </c>
      <c r="T9" s="49" t="s">
        <v>1386</v>
      </c>
      <c r="U9" s="49" t="s">
        <v>1430</v>
      </c>
      <c r="V9" s="49" t="s">
        <v>31</v>
      </c>
      <c r="W9" s="49" t="s">
        <v>1431</v>
      </c>
      <c r="X9" s="49" t="s">
        <v>1432</v>
      </c>
      <c r="Y9" s="49"/>
      <c r="Z9" s="49" t="s">
        <v>1433</v>
      </c>
      <c r="AA9" s="49" t="s">
        <v>1390</v>
      </c>
    </row>
    <row r="10" spans="1:27" ht="76" hidden="1" customHeight="1">
      <c r="A10" s="49" t="s">
        <v>1434</v>
      </c>
      <c r="B10" s="49" t="s">
        <v>17</v>
      </c>
      <c r="C10" s="49" t="s">
        <v>1435</v>
      </c>
      <c r="D10" s="49" t="s">
        <v>1436</v>
      </c>
      <c r="E10" s="49" t="s">
        <v>216</v>
      </c>
      <c r="F10" s="49" t="s">
        <v>1437</v>
      </c>
      <c r="G10" s="49" t="s">
        <v>1438</v>
      </c>
      <c r="H10" s="49" t="s">
        <v>1439</v>
      </c>
      <c r="I10" s="49" t="s">
        <v>1440</v>
      </c>
      <c r="J10" s="56" t="s">
        <v>1405</v>
      </c>
      <c r="K10" s="49" t="s">
        <v>23</v>
      </c>
      <c r="L10" s="50">
        <v>1</v>
      </c>
      <c r="M10" s="51">
        <v>60</v>
      </c>
      <c r="N10" s="52">
        <f t="shared" si="0"/>
        <v>1</v>
      </c>
      <c r="O10" s="53">
        <v>50</v>
      </c>
      <c r="P10" s="54">
        <f t="shared" si="1"/>
        <v>50</v>
      </c>
      <c r="Q10" s="49" t="s">
        <v>1441</v>
      </c>
      <c r="R10" s="49" t="s">
        <v>466</v>
      </c>
      <c r="S10" s="49" t="s">
        <v>1385</v>
      </c>
      <c r="T10" s="49" t="s">
        <v>1386</v>
      </c>
      <c r="U10" s="49" t="s">
        <v>1442</v>
      </c>
      <c r="V10" s="49" t="s">
        <v>1443</v>
      </c>
      <c r="W10" s="49" t="s">
        <v>1444</v>
      </c>
      <c r="X10" s="49" t="s">
        <v>1445</v>
      </c>
      <c r="Y10" s="49" t="s">
        <v>1446</v>
      </c>
      <c r="Z10" s="49" t="s">
        <v>898</v>
      </c>
      <c r="AA10" s="49" t="s">
        <v>1390</v>
      </c>
    </row>
    <row r="11" spans="1:27" ht="52" hidden="1" customHeight="1">
      <c r="A11" s="49" t="s">
        <v>1447</v>
      </c>
      <c r="B11" s="49" t="s">
        <v>17</v>
      </c>
      <c r="C11" s="49" t="s">
        <v>1448</v>
      </c>
      <c r="D11" s="49" t="s">
        <v>1449</v>
      </c>
      <c r="E11" s="49" t="s">
        <v>172</v>
      </c>
      <c r="F11" s="49" t="s">
        <v>1450</v>
      </c>
      <c r="G11" s="49" t="s">
        <v>1451</v>
      </c>
      <c r="H11" s="49" t="s">
        <v>1452</v>
      </c>
      <c r="I11" s="49" t="s">
        <v>1405</v>
      </c>
      <c r="J11" s="56" t="s">
        <v>1405</v>
      </c>
      <c r="K11" s="49" t="s">
        <v>1453</v>
      </c>
      <c r="L11" s="50"/>
      <c r="M11" s="51"/>
      <c r="N11" s="52" t="str">
        <f t="shared" si="0"/>
        <v/>
      </c>
      <c r="O11" s="53"/>
      <c r="P11" s="54" t="str">
        <f t="shared" si="1"/>
        <v/>
      </c>
      <c r="Q11" s="49" t="s">
        <v>1454</v>
      </c>
      <c r="R11" s="49" t="s">
        <v>1455</v>
      </c>
      <c r="S11" s="49" t="s">
        <v>1456</v>
      </c>
      <c r="T11" s="49" t="s">
        <v>1386</v>
      </c>
      <c r="U11" s="49" t="s">
        <v>1457</v>
      </c>
      <c r="V11" s="49" t="s">
        <v>549</v>
      </c>
      <c r="W11" s="49" t="s">
        <v>1458</v>
      </c>
      <c r="X11" s="49" t="s">
        <v>1459</v>
      </c>
      <c r="Y11" s="49" t="s">
        <v>1460</v>
      </c>
      <c r="Z11" s="49" t="s">
        <v>910</v>
      </c>
      <c r="AA11" s="49" t="s">
        <v>1461</v>
      </c>
    </row>
    <row r="12" spans="1:27" ht="52" hidden="1" customHeight="1">
      <c r="A12" s="49" t="s">
        <v>1462</v>
      </c>
      <c r="B12" s="49" t="s">
        <v>17</v>
      </c>
      <c r="C12" s="49" t="s">
        <v>18</v>
      </c>
      <c r="D12" s="49" t="s">
        <v>19</v>
      </c>
      <c r="E12" s="49" t="s">
        <v>172</v>
      </c>
      <c r="F12" s="49" t="s">
        <v>1463</v>
      </c>
      <c r="G12" s="49" t="s">
        <v>1464</v>
      </c>
      <c r="H12" s="49" t="s">
        <v>1404</v>
      </c>
      <c r="I12" s="49" t="s">
        <v>1405</v>
      </c>
      <c r="J12" s="56" t="s">
        <v>1405</v>
      </c>
      <c r="K12" s="49" t="s">
        <v>159</v>
      </c>
      <c r="L12" s="50">
        <v>1</v>
      </c>
      <c r="M12" s="51">
        <v>30</v>
      </c>
      <c r="N12" s="52">
        <f t="shared" si="0"/>
        <v>0.5</v>
      </c>
      <c r="O12" s="53">
        <v>50</v>
      </c>
      <c r="P12" s="54">
        <f t="shared" si="1"/>
        <v>25</v>
      </c>
      <c r="Q12" s="49" t="s">
        <v>1406</v>
      </c>
      <c r="R12" s="49" t="s">
        <v>466</v>
      </c>
      <c r="S12" s="49" t="s">
        <v>1385</v>
      </c>
      <c r="T12" s="49" t="s">
        <v>1386</v>
      </c>
      <c r="U12" s="49" t="s">
        <v>1465</v>
      </c>
      <c r="V12" s="49" t="s">
        <v>31</v>
      </c>
      <c r="W12" s="49" t="s">
        <v>128</v>
      </c>
      <c r="X12" s="49" t="s">
        <v>1466</v>
      </c>
      <c r="Y12" s="49"/>
      <c r="Z12" s="49" t="s">
        <v>1467</v>
      </c>
      <c r="AA12" s="49" t="s">
        <v>1390</v>
      </c>
    </row>
    <row r="13" spans="1:27" ht="52" hidden="1" customHeight="1">
      <c r="A13" s="49" t="s">
        <v>1468</v>
      </c>
      <c r="B13" s="49" t="s">
        <v>17</v>
      </c>
      <c r="C13" s="49" t="s">
        <v>18</v>
      </c>
      <c r="D13" s="49" t="s">
        <v>19</v>
      </c>
      <c r="E13" s="49" t="s">
        <v>172</v>
      </c>
      <c r="F13" s="49" t="s">
        <v>1469</v>
      </c>
      <c r="G13" s="49" t="s">
        <v>1470</v>
      </c>
      <c r="H13" s="49" t="s">
        <v>1404</v>
      </c>
      <c r="I13" s="49" t="s">
        <v>1405</v>
      </c>
      <c r="J13" s="56" t="s">
        <v>1405</v>
      </c>
      <c r="K13" s="49" t="s">
        <v>159</v>
      </c>
      <c r="L13" s="50">
        <v>12</v>
      </c>
      <c r="M13" s="51">
        <v>60</v>
      </c>
      <c r="N13" s="52">
        <f t="shared" si="0"/>
        <v>12</v>
      </c>
      <c r="O13" s="53">
        <v>50</v>
      </c>
      <c r="P13" s="54">
        <f t="shared" si="1"/>
        <v>600</v>
      </c>
      <c r="Q13" s="49" t="s">
        <v>1406</v>
      </c>
      <c r="R13" s="49" t="s">
        <v>466</v>
      </c>
      <c r="S13" s="49" t="s">
        <v>1385</v>
      </c>
      <c r="T13" s="49" t="s">
        <v>1386</v>
      </c>
      <c r="U13" s="49" t="s">
        <v>1471</v>
      </c>
      <c r="V13" s="49" t="s">
        <v>31</v>
      </c>
      <c r="W13" s="49" t="s">
        <v>128</v>
      </c>
      <c r="X13" s="49" t="s">
        <v>1466</v>
      </c>
      <c r="Y13" s="49"/>
      <c r="Z13" s="49" t="s">
        <v>1472</v>
      </c>
      <c r="AA13" s="49" t="s">
        <v>1390</v>
      </c>
    </row>
    <row r="14" spans="1:27" ht="52" hidden="1" customHeight="1">
      <c r="A14" s="49" t="s">
        <v>1473</v>
      </c>
      <c r="B14" s="49" t="s">
        <v>17</v>
      </c>
      <c r="C14" s="49" t="s">
        <v>18</v>
      </c>
      <c r="D14" s="49" t="s">
        <v>19</v>
      </c>
      <c r="E14" s="49" t="s">
        <v>172</v>
      </c>
      <c r="F14" s="49" t="s">
        <v>1474</v>
      </c>
      <c r="G14" s="49" t="s">
        <v>1475</v>
      </c>
      <c r="H14" s="49" t="s">
        <v>1404</v>
      </c>
      <c r="I14" s="49" t="s">
        <v>1405</v>
      </c>
      <c r="J14" s="56" t="s">
        <v>1405</v>
      </c>
      <c r="K14" s="49" t="s">
        <v>159</v>
      </c>
      <c r="L14" s="50">
        <v>12</v>
      </c>
      <c r="M14" s="51">
        <v>60</v>
      </c>
      <c r="N14" s="52">
        <f t="shared" si="0"/>
        <v>12</v>
      </c>
      <c r="O14" s="53">
        <v>50</v>
      </c>
      <c r="P14" s="54">
        <f t="shared" si="1"/>
        <v>600</v>
      </c>
      <c r="Q14" s="49" t="s">
        <v>1406</v>
      </c>
      <c r="R14" s="49" t="s">
        <v>466</v>
      </c>
      <c r="S14" s="49" t="s">
        <v>1385</v>
      </c>
      <c r="T14" s="49" t="s">
        <v>1386</v>
      </c>
      <c r="U14" s="49" t="s">
        <v>1476</v>
      </c>
      <c r="V14" s="49" t="s">
        <v>31</v>
      </c>
      <c r="W14" s="49" t="s">
        <v>1477</v>
      </c>
      <c r="X14" s="49" t="s">
        <v>1478</v>
      </c>
      <c r="Y14" s="49"/>
      <c r="Z14" s="49" t="s">
        <v>1479</v>
      </c>
      <c r="AA14" s="49" t="s">
        <v>1390</v>
      </c>
    </row>
    <row r="15" spans="1:27" ht="76" hidden="1" customHeight="1">
      <c r="A15" s="49" t="s">
        <v>1480</v>
      </c>
      <c r="B15" s="49" t="s">
        <v>17</v>
      </c>
      <c r="C15" s="49" t="s">
        <v>18</v>
      </c>
      <c r="D15" s="49" t="s">
        <v>19</v>
      </c>
      <c r="E15" s="49" t="s">
        <v>172</v>
      </c>
      <c r="F15" s="49" t="s">
        <v>1481</v>
      </c>
      <c r="G15" s="49" t="s">
        <v>1482</v>
      </c>
      <c r="H15" s="49" t="s">
        <v>1483</v>
      </c>
      <c r="I15" s="49" t="s">
        <v>1405</v>
      </c>
      <c r="J15" s="56" t="s">
        <v>1405</v>
      </c>
      <c r="K15" s="49" t="s">
        <v>159</v>
      </c>
      <c r="L15" s="50">
        <v>12</v>
      </c>
      <c r="M15" s="51">
        <v>120</v>
      </c>
      <c r="N15" s="52">
        <f t="shared" si="0"/>
        <v>24</v>
      </c>
      <c r="O15" s="53">
        <v>50</v>
      </c>
      <c r="P15" s="54">
        <f t="shared" si="1"/>
        <v>1200</v>
      </c>
      <c r="Q15" s="49" t="s">
        <v>1406</v>
      </c>
      <c r="R15" s="49" t="s">
        <v>466</v>
      </c>
      <c r="S15" s="49" t="s">
        <v>1385</v>
      </c>
      <c r="T15" s="49" t="s">
        <v>1386</v>
      </c>
      <c r="U15" s="49" t="s">
        <v>1484</v>
      </c>
      <c r="V15" s="49" t="s">
        <v>557</v>
      </c>
      <c r="W15" s="49" t="s">
        <v>1485</v>
      </c>
      <c r="X15" s="49" t="s">
        <v>818</v>
      </c>
      <c r="Y15" s="49" t="s">
        <v>1486</v>
      </c>
      <c r="Z15" s="49" t="s">
        <v>1487</v>
      </c>
      <c r="AA15" s="49" t="s">
        <v>1390</v>
      </c>
    </row>
    <row r="16" spans="1:27" ht="52" hidden="1" customHeight="1">
      <c r="A16" s="49" t="s">
        <v>1488</v>
      </c>
      <c r="B16" s="49" t="s">
        <v>17</v>
      </c>
      <c r="C16" s="49" t="s">
        <v>47</v>
      </c>
      <c r="D16" s="49" t="s">
        <v>1489</v>
      </c>
      <c r="E16" s="49" t="s">
        <v>172</v>
      </c>
      <c r="F16" s="49" t="s">
        <v>1490</v>
      </c>
      <c r="G16" s="49" t="s">
        <v>1491</v>
      </c>
      <c r="H16" s="49" t="s">
        <v>1404</v>
      </c>
      <c r="I16" s="49" t="s">
        <v>1405</v>
      </c>
      <c r="J16" s="56" t="s">
        <v>1405</v>
      </c>
      <c r="K16" s="49" t="s">
        <v>159</v>
      </c>
      <c r="L16" s="50">
        <v>6</v>
      </c>
      <c r="M16" s="51">
        <v>60</v>
      </c>
      <c r="N16" s="52">
        <f t="shared" si="0"/>
        <v>6</v>
      </c>
      <c r="O16" s="53">
        <v>50</v>
      </c>
      <c r="P16" s="54">
        <f t="shared" si="1"/>
        <v>300</v>
      </c>
      <c r="Q16" s="49" t="s">
        <v>1406</v>
      </c>
      <c r="R16" s="49" t="s">
        <v>466</v>
      </c>
      <c r="S16" s="49" t="s">
        <v>1385</v>
      </c>
      <c r="T16" s="49" t="s">
        <v>1386</v>
      </c>
      <c r="U16" s="49" t="s">
        <v>1492</v>
      </c>
      <c r="V16" s="49" t="s">
        <v>51</v>
      </c>
      <c r="W16" s="49" t="s">
        <v>123</v>
      </c>
      <c r="X16" s="49" t="s">
        <v>122</v>
      </c>
      <c r="Y16" s="49"/>
      <c r="Z16" s="49" t="s">
        <v>1493</v>
      </c>
      <c r="AA16" s="49" t="s">
        <v>1390</v>
      </c>
    </row>
    <row r="17" spans="1:27" ht="76" customHeight="1">
      <c r="A17" s="49" t="s">
        <v>46</v>
      </c>
      <c r="B17" s="49" t="s">
        <v>17</v>
      </c>
      <c r="C17" s="49" t="s">
        <v>47</v>
      </c>
      <c r="D17" s="49" t="s">
        <v>48</v>
      </c>
      <c r="E17" s="49" t="s">
        <v>20</v>
      </c>
      <c r="F17" s="49" t="s">
        <v>50</v>
      </c>
      <c r="G17" s="49" t="s">
        <v>49</v>
      </c>
      <c r="H17" s="49" t="s">
        <v>1382</v>
      </c>
      <c r="I17" s="49" t="s">
        <v>1383</v>
      </c>
      <c r="J17" s="49" t="s">
        <v>1383</v>
      </c>
      <c r="K17" s="49" t="s">
        <v>23</v>
      </c>
      <c r="L17" s="50">
        <v>1</v>
      </c>
      <c r="M17" s="51">
        <v>15</v>
      </c>
      <c r="N17" s="52">
        <f t="shared" si="0"/>
        <v>0.25</v>
      </c>
      <c r="O17" s="53">
        <v>50</v>
      </c>
      <c r="P17" s="54">
        <f t="shared" si="1"/>
        <v>12.5</v>
      </c>
      <c r="Q17" s="49" t="s">
        <v>1494</v>
      </c>
      <c r="R17" s="49" t="s">
        <v>466</v>
      </c>
      <c r="S17" s="49" t="s">
        <v>1385</v>
      </c>
      <c r="T17" s="49" t="s">
        <v>1386</v>
      </c>
      <c r="U17" s="49" t="s">
        <v>1398</v>
      </c>
      <c r="V17" s="49" t="s">
        <v>51</v>
      </c>
      <c r="W17" s="49" t="s">
        <v>53</v>
      </c>
      <c r="X17" s="49" t="s">
        <v>52</v>
      </c>
      <c r="Y17" s="49" t="s">
        <v>1495</v>
      </c>
      <c r="Z17" s="49" t="s">
        <v>1496</v>
      </c>
      <c r="AA17" s="49" t="s">
        <v>1390</v>
      </c>
    </row>
    <row r="18" spans="1:27" ht="76" customHeight="1">
      <c r="A18" s="49" t="s">
        <v>54</v>
      </c>
      <c r="B18" s="49" t="s">
        <v>17</v>
      </c>
      <c r="C18" s="49" t="s">
        <v>47</v>
      </c>
      <c r="D18" s="49" t="s">
        <v>55</v>
      </c>
      <c r="E18" s="49" t="s">
        <v>20</v>
      </c>
      <c r="F18" s="49" t="s">
        <v>57</v>
      </c>
      <c r="G18" s="49" t="s">
        <v>56</v>
      </c>
      <c r="H18" s="49" t="s">
        <v>1382</v>
      </c>
      <c r="I18" s="49" t="s">
        <v>1383</v>
      </c>
      <c r="J18" s="49" t="s">
        <v>1383</v>
      </c>
      <c r="K18" s="49" t="s">
        <v>23</v>
      </c>
      <c r="L18" s="50">
        <v>1</v>
      </c>
      <c r="M18" s="51">
        <v>30</v>
      </c>
      <c r="N18" s="52">
        <f t="shared" si="0"/>
        <v>0.5</v>
      </c>
      <c r="O18" s="53">
        <v>50</v>
      </c>
      <c r="P18" s="54">
        <f t="shared" si="1"/>
        <v>25</v>
      </c>
      <c r="Q18" s="55" t="s">
        <v>1384</v>
      </c>
      <c r="R18" s="55" t="s">
        <v>466</v>
      </c>
      <c r="S18" s="55" t="s">
        <v>1385</v>
      </c>
      <c r="T18" s="55" t="s">
        <v>1386</v>
      </c>
      <c r="U18" s="55" t="s">
        <v>1398</v>
      </c>
      <c r="V18" s="55" t="s">
        <v>31</v>
      </c>
      <c r="W18" s="55" t="s">
        <v>59</v>
      </c>
      <c r="X18" s="55" t="s">
        <v>58</v>
      </c>
      <c r="Y18" s="55" t="s">
        <v>1497</v>
      </c>
      <c r="Z18" s="49" t="s">
        <v>1498</v>
      </c>
      <c r="AA18" s="49" t="s">
        <v>1390</v>
      </c>
    </row>
    <row r="19" spans="1:27" ht="76" customHeight="1">
      <c r="A19" s="49" t="s">
        <v>60</v>
      </c>
      <c r="B19" s="49" t="s">
        <v>17</v>
      </c>
      <c r="C19" s="49" t="s">
        <v>47</v>
      </c>
      <c r="D19" s="49" t="s">
        <v>55</v>
      </c>
      <c r="E19" s="49" t="s">
        <v>28</v>
      </c>
      <c r="F19" s="49" t="s">
        <v>62</v>
      </c>
      <c r="G19" s="49" t="s">
        <v>61</v>
      </c>
      <c r="H19" s="49" t="s">
        <v>1382</v>
      </c>
      <c r="I19" s="49" t="s">
        <v>1383</v>
      </c>
      <c r="J19" s="49" t="s">
        <v>1383</v>
      </c>
      <c r="K19" s="49" t="s">
        <v>23</v>
      </c>
      <c r="L19" s="50">
        <v>1</v>
      </c>
      <c r="M19" s="51">
        <v>7.5</v>
      </c>
      <c r="N19" s="52">
        <f t="shared" si="0"/>
        <v>0.125</v>
      </c>
      <c r="O19" s="53">
        <v>50</v>
      </c>
      <c r="P19" s="54">
        <f t="shared" si="1"/>
        <v>6.25</v>
      </c>
      <c r="Q19" s="49" t="s">
        <v>1494</v>
      </c>
      <c r="R19" s="49" t="s">
        <v>466</v>
      </c>
      <c r="S19" s="49" t="s">
        <v>1385</v>
      </c>
      <c r="T19" s="49" t="s">
        <v>1386</v>
      </c>
      <c r="U19" s="49" t="s">
        <v>1398</v>
      </c>
      <c r="V19" s="49" t="s">
        <v>63</v>
      </c>
      <c r="W19" s="49" t="s">
        <v>65</v>
      </c>
      <c r="X19" s="49" t="s">
        <v>64</v>
      </c>
      <c r="Y19" s="49" t="s">
        <v>1499</v>
      </c>
      <c r="Z19" s="49" t="s">
        <v>1500</v>
      </c>
      <c r="AA19" s="49" t="s">
        <v>1390</v>
      </c>
    </row>
    <row r="20" spans="1:27" ht="52" customHeight="1">
      <c r="A20" s="49" t="s">
        <v>66</v>
      </c>
      <c r="B20" s="49" t="s">
        <v>17</v>
      </c>
      <c r="C20" s="49" t="s">
        <v>47</v>
      </c>
      <c r="D20" s="49" t="s">
        <v>48</v>
      </c>
      <c r="E20" s="49" t="s">
        <v>28</v>
      </c>
      <c r="F20" s="49" t="s">
        <v>68</v>
      </c>
      <c r="G20" s="49" t="s">
        <v>67</v>
      </c>
      <c r="H20" s="49" t="s">
        <v>1382</v>
      </c>
      <c r="I20" s="49" t="s">
        <v>1383</v>
      </c>
      <c r="J20" s="49" t="s">
        <v>1383</v>
      </c>
      <c r="K20" s="49" t="s">
        <v>23</v>
      </c>
      <c r="L20" s="50">
        <v>1</v>
      </c>
      <c r="M20" s="51">
        <v>240</v>
      </c>
      <c r="N20" s="52">
        <f t="shared" si="0"/>
        <v>4</v>
      </c>
      <c r="O20" s="53">
        <v>30</v>
      </c>
      <c r="P20" s="54">
        <f t="shared" si="1"/>
        <v>120</v>
      </c>
      <c r="Q20" s="49" t="s">
        <v>1494</v>
      </c>
      <c r="R20" s="49" t="s">
        <v>466</v>
      </c>
      <c r="S20" s="49" t="s">
        <v>1385</v>
      </c>
      <c r="T20" s="49" t="s">
        <v>1386</v>
      </c>
      <c r="U20" s="49" t="s">
        <v>1398</v>
      </c>
      <c r="V20" s="49" t="s">
        <v>51</v>
      </c>
      <c r="W20" s="49" t="s">
        <v>70</v>
      </c>
      <c r="X20" s="49" t="s">
        <v>69</v>
      </c>
      <c r="Y20" s="49"/>
      <c r="Z20" s="49" t="s">
        <v>1501</v>
      </c>
      <c r="AA20" s="49" t="s">
        <v>1390</v>
      </c>
    </row>
    <row r="21" spans="1:27" ht="76" customHeight="1">
      <c r="A21" s="49" t="s">
        <v>71</v>
      </c>
      <c r="B21" s="49" t="s">
        <v>17</v>
      </c>
      <c r="C21" s="49" t="s">
        <v>47</v>
      </c>
      <c r="D21" s="49" t="s">
        <v>55</v>
      </c>
      <c r="E21" s="49" t="s">
        <v>72</v>
      </c>
      <c r="F21" s="49" t="s">
        <v>74</v>
      </c>
      <c r="G21" s="49" t="s">
        <v>73</v>
      </c>
      <c r="H21" s="49" t="s">
        <v>1382</v>
      </c>
      <c r="I21" s="49" t="s">
        <v>1383</v>
      </c>
      <c r="J21" s="49" t="s">
        <v>1383</v>
      </c>
      <c r="K21" s="49" t="s">
        <v>23</v>
      </c>
      <c r="L21" s="50">
        <v>1</v>
      </c>
      <c r="M21" s="51">
        <v>60</v>
      </c>
      <c r="N21" s="52">
        <f t="shared" si="0"/>
        <v>1</v>
      </c>
      <c r="O21" s="53">
        <v>30</v>
      </c>
      <c r="P21" s="54">
        <f t="shared" si="1"/>
        <v>30</v>
      </c>
      <c r="Q21" s="55" t="s">
        <v>1384</v>
      </c>
      <c r="R21" s="55" t="s">
        <v>466</v>
      </c>
      <c r="S21" s="55" t="s">
        <v>1385</v>
      </c>
      <c r="T21" s="55" t="s">
        <v>1386</v>
      </c>
      <c r="U21" s="55" t="s">
        <v>1398</v>
      </c>
      <c r="V21" s="55" t="s">
        <v>75</v>
      </c>
      <c r="W21" s="55" t="s">
        <v>77</v>
      </c>
      <c r="X21" s="55" t="s">
        <v>76</v>
      </c>
      <c r="Y21" s="55" t="s">
        <v>1502</v>
      </c>
      <c r="Z21" s="49" t="s">
        <v>1503</v>
      </c>
      <c r="AA21" s="49" t="s">
        <v>1390</v>
      </c>
    </row>
    <row r="22" spans="1:27" ht="52" customHeight="1">
      <c r="A22" s="49" t="s">
        <v>78</v>
      </c>
      <c r="B22" s="49" t="s">
        <v>17</v>
      </c>
      <c r="C22" s="49" t="s">
        <v>47</v>
      </c>
      <c r="D22" s="49" t="s">
        <v>48</v>
      </c>
      <c r="E22" s="49" t="s">
        <v>79</v>
      </c>
      <c r="F22" s="49" t="s">
        <v>81</v>
      </c>
      <c r="G22" s="49" t="s">
        <v>80</v>
      </c>
      <c r="H22" s="49" t="s">
        <v>1382</v>
      </c>
      <c r="I22" s="49" t="s">
        <v>1383</v>
      </c>
      <c r="J22" s="49" t="s">
        <v>1383</v>
      </c>
      <c r="K22" s="49" t="s">
        <v>23</v>
      </c>
      <c r="L22" s="50">
        <v>1</v>
      </c>
      <c r="M22" s="51">
        <v>120</v>
      </c>
      <c r="N22" s="52">
        <f t="shared" si="0"/>
        <v>2</v>
      </c>
      <c r="O22" s="53">
        <v>30</v>
      </c>
      <c r="P22" s="54">
        <f t="shared" si="1"/>
        <v>60</v>
      </c>
      <c r="Q22" s="49" t="s">
        <v>1494</v>
      </c>
      <c r="R22" s="49" t="s">
        <v>466</v>
      </c>
      <c r="S22" s="49" t="s">
        <v>1385</v>
      </c>
      <c r="T22" s="49" t="s">
        <v>1386</v>
      </c>
      <c r="U22" s="49" t="s">
        <v>1504</v>
      </c>
      <c r="V22" s="49" t="s">
        <v>51</v>
      </c>
      <c r="W22" s="49" t="s">
        <v>83</v>
      </c>
      <c r="X22" s="49" t="s">
        <v>82</v>
      </c>
      <c r="Y22" s="49"/>
      <c r="Z22" s="49" t="s">
        <v>1505</v>
      </c>
      <c r="AA22" s="49" t="s">
        <v>1390</v>
      </c>
    </row>
    <row r="23" spans="1:27" ht="52" customHeight="1">
      <c r="A23" s="49" t="s">
        <v>84</v>
      </c>
      <c r="B23" s="49" t="s">
        <v>17</v>
      </c>
      <c r="C23" s="49" t="s">
        <v>47</v>
      </c>
      <c r="D23" s="49" t="s">
        <v>48</v>
      </c>
      <c r="E23" s="49" t="s">
        <v>79</v>
      </c>
      <c r="F23" s="49" t="s">
        <v>86</v>
      </c>
      <c r="G23" s="49" t="s">
        <v>85</v>
      </c>
      <c r="H23" s="49" t="s">
        <v>1382</v>
      </c>
      <c r="I23" s="49" t="s">
        <v>1383</v>
      </c>
      <c r="J23" s="49" t="s">
        <v>1383</v>
      </c>
      <c r="K23" s="49" t="s">
        <v>23</v>
      </c>
      <c r="L23" s="50">
        <v>1</v>
      </c>
      <c r="M23" s="51">
        <v>30</v>
      </c>
      <c r="N23" s="52">
        <f t="shared" si="0"/>
        <v>0.5</v>
      </c>
      <c r="O23" s="53">
        <v>30</v>
      </c>
      <c r="P23" s="54">
        <f t="shared" si="1"/>
        <v>15</v>
      </c>
      <c r="Q23" s="49" t="s">
        <v>1494</v>
      </c>
      <c r="R23" s="49" t="s">
        <v>466</v>
      </c>
      <c r="S23" s="49" t="s">
        <v>1385</v>
      </c>
      <c r="T23" s="49" t="s">
        <v>1386</v>
      </c>
      <c r="U23" s="49" t="s">
        <v>1504</v>
      </c>
      <c r="V23" s="49" t="s">
        <v>51</v>
      </c>
      <c r="W23" s="49" t="s">
        <v>88</v>
      </c>
      <c r="X23" s="49" t="s">
        <v>87</v>
      </c>
      <c r="Y23" s="49"/>
      <c r="Z23" s="49" t="s">
        <v>1506</v>
      </c>
      <c r="AA23" s="49" t="s">
        <v>1390</v>
      </c>
    </row>
    <row r="24" spans="1:27" ht="52" customHeight="1">
      <c r="A24" s="49" t="s">
        <v>89</v>
      </c>
      <c r="B24" s="49" t="s">
        <v>17</v>
      </c>
      <c r="C24" s="49" t="s">
        <v>47</v>
      </c>
      <c r="D24" s="49" t="s">
        <v>48</v>
      </c>
      <c r="E24" s="49" t="s">
        <v>79</v>
      </c>
      <c r="F24" s="49" t="s">
        <v>91</v>
      </c>
      <c r="G24" s="49" t="s">
        <v>90</v>
      </c>
      <c r="H24" s="49" t="s">
        <v>1382</v>
      </c>
      <c r="I24" s="49" t="s">
        <v>1383</v>
      </c>
      <c r="J24" s="49" t="s">
        <v>1383</v>
      </c>
      <c r="K24" s="49" t="s">
        <v>23</v>
      </c>
      <c r="L24" s="50">
        <v>1</v>
      </c>
      <c r="M24" s="51">
        <v>60</v>
      </c>
      <c r="N24" s="52">
        <f t="shared" si="0"/>
        <v>1</v>
      </c>
      <c r="O24" s="53">
        <v>30</v>
      </c>
      <c r="P24" s="54">
        <f t="shared" si="1"/>
        <v>30</v>
      </c>
      <c r="Q24" s="49" t="s">
        <v>1494</v>
      </c>
      <c r="R24" s="49" t="s">
        <v>466</v>
      </c>
      <c r="S24" s="49" t="s">
        <v>1385</v>
      </c>
      <c r="T24" s="49" t="s">
        <v>1386</v>
      </c>
      <c r="U24" s="49" t="s">
        <v>1504</v>
      </c>
      <c r="V24" s="49" t="s">
        <v>51</v>
      </c>
      <c r="W24" s="49" t="s">
        <v>93</v>
      </c>
      <c r="X24" s="49" t="s">
        <v>92</v>
      </c>
      <c r="Y24" s="49"/>
      <c r="Z24" s="49" t="s">
        <v>1507</v>
      </c>
      <c r="AA24" s="49" t="s">
        <v>1390</v>
      </c>
    </row>
    <row r="25" spans="1:27" ht="52" customHeight="1">
      <c r="A25" s="49" t="s">
        <v>94</v>
      </c>
      <c r="B25" s="49" t="s">
        <v>17</v>
      </c>
      <c r="C25" s="49" t="s">
        <v>47</v>
      </c>
      <c r="D25" s="49" t="s">
        <v>48</v>
      </c>
      <c r="E25" s="49" t="s">
        <v>79</v>
      </c>
      <c r="F25" s="49" t="s">
        <v>96</v>
      </c>
      <c r="G25" s="49" t="s">
        <v>95</v>
      </c>
      <c r="H25" s="49" t="s">
        <v>1382</v>
      </c>
      <c r="I25" s="49" t="s">
        <v>1383</v>
      </c>
      <c r="J25" s="49" t="s">
        <v>1383</v>
      </c>
      <c r="K25" s="49" t="s">
        <v>23</v>
      </c>
      <c r="L25" s="50">
        <v>1</v>
      </c>
      <c r="M25" s="51">
        <v>60</v>
      </c>
      <c r="N25" s="52">
        <f t="shared" si="0"/>
        <v>1</v>
      </c>
      <c r="O25" s="53">
        <v>30</v>
      </c>
      <c r="P25" s="54">
        <f t="shared" si="1"/>
        <v>30</v>
      </c>
      <c r="Q25" s="49" t="s">
        <v>1494</v>
      </c>
      <c r="R25" s="49" t="s">
        <v>466</v>
      </c>
      <c r="S25" s="49" t="s">
        <v>1385</v>
      </c>
      <c r="T25" s="49" t="s">
        <v>1386</v>
      </c>
      <c r="U25" s="49" t="s">
        <v>1504</v>
      </c>
      <c r="V25" s="49" t="s">
        <v>51</v>
      </c>
      <c r="W25" s="49" t="s">
        <v>93</v>
      </c>
      <c r="X25" s="49" t="s">
        <v>97</v>
      </c>
      <c r="Y25" s="49"/>
      <c r="Z25" s="49" t="s">
        <v>1508</v>
      </c>
      <c r="AA25" s="49" t="s">
        <v>1390</v>
      </c>
    </row>
    <row r="26" spans="1:27" ht="52" customHeight="1">
      <c r="A26" s="49" t="s">
        <v>98</v>
      </c>
      <c r="B26" s="49" t="s">
        <v>17</v>
      </c>
      <c r="C26" s="49" t="s">
        <v>47</v>
      </c>
      <c r="D26" s="49" t="s">
        <v>48</v>
      </c>
      <c r="E26" s="49" t="s">
        <v>99</v>
      </c>
      <c r="F26" s="49" t="s">
        <v>101</v>
      </c>
      <c r="G26" s="49" t="s">
        <v>100</v>
      </c>
      <c r="H26" s="49" t="s">
        <v>1382</v>
      </c>
      <c r="I26" s="49" t="s">
        <v>1383</v>
      </c>
      <c r="J26" s="49" t="s">
        <v>1383</v>
      </c>
      <c r="K26" s="49" t="s">
        <v>23</v>
      </c>
      <c r="L26" s="50">
        <v>1</v>
      </c>
      <c r="M26" s="51">
        <v>30</v>
      </c>
      <c r="N26" s="52">
        <f t="shared" si="0"/>
        <v>0.5</v>
      </c>
      <c r="O26" s="53">
        <v>30</v>
      </c>
      <c r="P26" s="54">
        <f t="shared" si="1"/>
        <v>15</v>
      </c>
      <c r="Q26" s="49" t="s">
        <v>1494</v>
      </c>
      <c r="R26" s="49" t="s">
        <v>466</v>
      </c>
      <c r="S26" s="49" t="s">
        <v>1385</v>
      </c>
      <c r="T26" s="49" t="s">
        <v>1386</v>
      </c>
      <c r="U26" s="49" t="s">
        <v>1504</v>
      </c>
      <c r="V26" s="49" t="s">
        <v>51</v>
      </c>
      <c r="W26" s="49" t="s">
        <v>103</v>
      </c>
      <c r="X26" s="49" t="s">
        <v>102</v>
      </c>
      <c r="Y26" s="49"/>
      <c r="Z26" s="49" t="s">
        <v>1509</v>
      </c>
      <c r="AA26" s="49" t="s">
        <v>1390</v>
      </c>
    </row>
    <row r="27" spans="1:27" ht="52" customHeight="1">
      <c r="A27" s="49" t="s">
        <v>104</v>
      </c>
      <c r="B27" s="49" t="s">
        <v>17</v>
      </c>
      <c r="C27" s="49" t="s">
        <v>47</v>
      </c>
      <c r="D27" s="49" t="s">
        <v>48</v>
      </c>
      <c r="E27" s="49" t="s">
        <v>99</v>
      </c>
      <c r="F27" s="49" t="s">
        <v>106</v>
      </c>
      <c r="G27" s="49" t="s">
        <v>105</v>
      </c>
      <c r="H27" s="49" t="s">
        <v>1382</v>
      </c>
      <c r="I27" s="49" t="s">
        <v>1383</v>
      </c>
      <c r="J27" s="49" t="s">
        <v>1383</v>
      </c>
      <c r="K27" s="49" t="s">
        <v>23</v>
      </c>
      <c r="L27" s="50">
        <v>1</v>
      </c>
      <c r="M27" s="51">
        <v>30</v>
      </c>
      <c r="N27" s="52">
        <f t="shared" si="0"/>
        <v>0.5</v>
      </c>
      <c r="O27" s="53">
        <v>30</v>
      </c>
      <c r="P27" s="54">
        <f t="shared" si="1"/>
        <v>15</v>
      </c>
      <c r="Q27" s="49" t="s">
        <v>1494</v>
      </c>
      <c r="R27" s="49" t="s">
        <v>466</v>
      </c>
      <c r="S27" s="49" t="s">
        <v>1385</v>
      </c>
      <c r="T27" s="49" t="s">
        <v>1386</v>
      </c>
      <c r="U27" s="49" t="s">
        <v>1504</v>
      </c>
      <c r="V27" s="49" t="s">
        <v>51</v>
      </c>
      <c r="W27" s="49" t="s">
        <v>108</v>
      </c>
      <c r="X27" s="49" t="s">
        <v>107</v>
      </c>
      <c r="Y27" s="49"/>
      <c r="Z27" s="49" t="s">
        <v>1510</v>
      </c>
      <c r="AA27" s="49" t="s">
        <v>1390</v>
      </c>
    </row>
    <row r="28" spans="1:27" ht="52" customHeight="1">
      <c r="A28" s="49" t="s">
        <v>109</v>
      </c>
      <c r="B28" s="49" t="s">
        <v>17</v>
      </c>
      <c r="C28" s="49" t="s">
        <v>47</v>
      </c>
      <c r="D28" s="49" t="s">
        <v>48</v>
      </c>
      <c r="E28" s="49" t="s">
        <v>99</v>
      </c>
      <c r="F28" s="49" t="s">
        <v>111</v>
      </c>
      <c r="G28" s="49" t="s">
        <v>110</v>
      </c>
      <c r="H28" s="49" t="s">
        <v>1382</v>
      </c>
      <c r="I28" s="49" t="s">
        <v>1383</v>
      </c>
      <c r="J28" s="49" t="s">
        <v>1383</v>
      </c>
      <c r="K28" s="49" t="s">
        <v>23</v>
      </c>
      <c r="L28" s="50">
        <v>1</v>
      </c>
      <c r="M28" s="51">
        <v>60</v>
      </c>
      <c r="N28" s="52">
        <f t="shared" si="0"/>
        <v>1</v>
      </c>
      <c r="O28" s="53">
        <v>30</v>
      </c>
      <c r="P28" s="54">
        <f t="shared" si="1"/>
        <v>30</v>
      </c>
      <c r="Q28" s="49" t="s">
        <v>1494</v>
      </c>
      <c r="R28" s="49" t="s">
        <v>466</v>
      </c>
      <c r="S28" s="49" t="s">
        <v>1385</v>
      </c>
      <c r="T28" s="49" t="s">
        <v>1386</v>
      </c>
      <c r="U28" s="49" t="s">
        <v>1504</v>
      </c>
      <c r="V28" s="49" t="s">
        <v>51</v>
      </c>
      <c r="W28" s="49" t="s">
        <v>113</v>
      </c>
      <c r="X28" s="49" t="s">
        <v>112</v>
      </c>
      <c r="Y28" s="49"/>
      <c r="Z28" s="49" t="s">
        <v>1511</v>
      </c>
      <c r="AA28" s="49" t="s">
        <v>1390</v>
      </c>
    </row>
    <row r="29" spans="1:27" ht="52" customHeight="1">
      <c r="A29" s="49" t="s">
        <v>114</v>
      </c>
      <c r="B29" s="49" t="s">
        <v>17</v>
      </c>
      <c r="C29" s="49" t="s">
        <v>47</v>
      </c>
      <c r="D29" s="49" t="s">
        <v>48</v>
      </c>
      <c r="E29" s="49" t="s">
        <v>99</v>
      </c>
      <c r="F29" s="49" t="s">
        <v>116</v>
      </c>
      <c r="G29" s="49" t="s">
        <v>115</v>
      </c>
      <c r="H29" s="49" t="s">
        <v>1382</v>
      </c>
      <c r="I29" s="49" t="s">
        <v>1383</v>
      </c>
      <c r="J29" s="49" t="s">
        <v>1383</v>
      </c>
      <c r="K29" s="49" t="s">
        <v>23</v>
      </c>
      <c r="L29" s="50">
        <v>1</v>
      </c>
      <c r="M29" s="51">
        <v>30</v>
      </c>
      <c r="N29" s="52">
        <f t="shared" si="0"/>
        <v>0.5</v>
      </c>
      <c r="O29" s="53">
        <v>30</v>
      </c>
      <c r="P29" s="54">
        <f t="shared" si="1"/>
        <v>15</v>
      </c>
      <c r="Q29" s="49" t="s">
        <v>1494</v>
      </c>
      <c r="R29" s="49" t="s">
        <v>466</v>
      </c>
      <c r="S29" s="49" t="s">
        <v>1385</v>
      </c>
      <c r="T29" s="49" t="s">
        <v>1386</v>
      </c>
      <c r="U29" s="49" t="s">
        <v>1504</v>
      </c>
      <c r="V29" s="49" t="s">
        <v>51</v>
      </c>
      <c r="W29" s="49" t="s">
        <v>118</v>
      </c>
      <c r="X29" s="49" t="s">
        <v>117</v>
      </c>
      <c r="Y29" s="49"/>
      <c r="Z29" s="49" t="s">
        <v>1512</v>
      </c>
      <c r="AA29" s="49" t="s">
        <v>1390</v>
      </c>
    </row>
    <row r="30" spans="1:27" ht="52" customHeight="1">
      <c r="A30" s="49" t="s">
        <v>119</v>
      </c>
      <c r="B30" s="49" t="s">
        <v>17</v>
      </c>
      <c r="C30" s="49" t="s">
        <v>47</v>
      </c>
      <c r="D30" s="49" t="s">
        <v>48</v>
      </c>
      <c r="E30" s="49" t="s">
        <v>99</v>
      </c>
      <c r="F30" s="49" t="s">
        <v>121</v>
      </c>
      <c r="G30" s="49" t="s">
        <v>120</v>
      </c>
      <c r="H30" s="49" t="s">
        <v>1382</v>
      </c>
      <c r="I30" s="49" t="s">
        <v>1383</v>
      </c>
      <c r="J30" s="49" t="s">
        <v>1383</v>
      </c>
      <c r="K30" s="49" t="s">
        <v>23</v>
      </c>
      <c r="L30" s="50">
        <v>1</v>
      </c>
      <c r="M30" s="51">
        <v>30</v>
      </c>
      <c r="N30" s="52">
        <f t="shared" si="0"/>
        <v>0.5</v>
      </c>
      <c r="O30" s="53">
        <v>30</v>
      </c>
      <c r="P30" s="54">
        <f t="shared" si="1"/>
        <v>15</v>
      </c>
      <c r="Q30" s="49" t="s">
        <v>1494</v>
      </c>
      <c r="R30" s="49" t="s">
        <v>466</v>
      </c>
      <c r="S30" s="49" t="s">
        <v>1385</v>
      </c>
      <c r="T30" s="49" t="s">
        <v>1386</v>
      </c>
      <c r="U30" s="49" t="s">
        <v>1504</v>
      </c>
      <c r="V30" s="49" t="s">
        <v>51</v>
      </c>
      <c r="W30" s="49" t="s">
        <v>123</v>
      </c>
      <c r="X30" s="49" t="s">
        <v>122</v>
      </c>
      <c r="Y30" s="49"/>
      <c r="Z30" s="49" t="s">
        <v>1513</v>
      </c>
      <c r="AA30" s="49" t="s">
        <v>1390</v>
      </c>
    </row>
    <row r="31" spans="1:27" ht="52" customHeight="1">
      <c r="A31" s="49" t="s">
        <v>124</v>
      </c>
      <c r="B31" s="49" t="s">
        <v>17</v>
      </c>
      <c r="C31" s="49" t="s">
        <v>47</v>
      </c>
      <c r="D31" s="49" t="s">
        <v>48</v>
      </c>
      <c r="E31" s="49" t="s">
        <v>99</v>
      </c>
      <c r="F31" s="49" t="s">
        <v>126</v>
      </c>
      <c r="G31" s="49" t="s">
        <v>125</v>
      </c>
      <c r="H31" s="49" t="s">
        <v>1382</v>
      </c>
      <c r="I31" s="49" t="s">
        <v>1383</v>
      </c>
      <c r="J31" s="49" t="s">
        <v>1383</v>
      </c>
      <c r="K31" s="49" t="s">
        <v>23</v>
      </c>
      <c r="L31" s="50">
        <v>1</v>
      </c>
      <c r="M31" s="51">
        <v>30</v>
      </c>
      <c r="N31" s="52">
        <f t="shared" si="0"/>
        <v>0.5</v>
      </c>
      <c r="O31" s="53">
        <v>30</v>
      </c>
      <c r="P31" s="54">
        <f t="shared" si="1"/>
        <v>15</v>
      </c>
      <c r="Q31" s="49" t="s">
        <v>1494</v>
      </c>
      <c r="R31" s="49" t="s">
        <v>466</v>
      </c>
      <c r="S31" s="49" t="s">
        <v>1385</v>
      </c>
      <c r="T31" s="49" t="s">
        <v>1386</v>
      </c>
      <c r="U31" s="49" t="s">
        <v>1504</v>
      </c>
      <c r="V31" s="49" t="s">
        <v>31</v>
      </c>
      <c r="W31" s="49" t="s">
        <v>128</v>
      </c>
      <c r="X31" s="49" t="s">
        <v>127</v>
      </c>
      <c r="Y31" s="49"/>
      <c r="Z31" s="49" t="s">
        <v>1514</v>
      </c>
      <c r="AA31" s="49" t="s">
        <v>1390</v>
      </c>
    </row>
    <row r="32" spans="1:27" ht="52" customHeight="1">
      <c r="A32" s="49" t="s">
        <v>129</v>
      </c>
      <c r="B32" s="49" t="s">
        <v>17</v>
      </c>
      <c r="C32" s="49" t="s">
        <v>47</v>
      </c>
      <c r="D32" s="49" t="s">
        <v>48</v>
      </c>
      <c r="E32" s="49" t="s">
        <v>130</v>
      </c>
      <c r="F32" s="49" t="s">
        <v>132</v>
      </c>
      <c r="G32" s="49" t="s">
        <v>131</v>
      </c>
      <c r="H32" s="49" t="s">
        <v>1382</v>
      </c>
      <c r="I32" s="49" t="s">
        <v>1383</v>
      </c>
      <c r="J32" s="49" t="s">
        <v>1383</v>
      </c>
      <c r="K32" s="49" t="s">
        <v>133</v>
      </c>
      <c r="L32" s="50">
        <v>1</v>
      </c>
      <c r="M32" s="51">
        <v>30</v>
      </c>
      <c r="N32" s="52">
        <f t="shared" si="0"/>
        <v>0.5</v>
      </c>
      <c r="O32" s="53">
        <v>30</v>
      </c>
      <c r="P32" s="54">
        <f t="shared" si="1"/>
        <v>15</v>
      </c>
      <c r="Q32" s="49" t="s">
        <v>1494</v>
      </c>
      <c r="R32" s="49" t="s">
        <v>466</v>
      </c>
      <c r="S32" s="49" t="s">
        <v>1385</v>
      </c>
      <c r="T32" s="49" t="s">
        <v>1386</v>
      </c>
      <c r="U32" s="49" t="s">
        <v>1504</v>
      </c>
      <c r="V32" s="49" t="s">
        <v>51</v>
      </c>
      <c r="W32" s="49" t="s">
        <v>88</v>
      </c>
      <c r="X32" s="49" t="s">
        <v>134</v>
      </c>
      <c r="Y32" s="49"/>
      <c r="Z32" s="49" t="s">
        <v>1515</v>
      </c>
      <c r="AA32" s="49" t="s">
        <v>1390</v>
      </c>
    </row>
    <row r="33" spans="1:27" ht="52" customHeight="1">
      <c r="A33" s="49" t="s">
        <v>135</v>
      </c>
      <c r="B33" s="49" t="s">
        <v>17</v>
      </c>
      <c r="C33" s="49" t="s">
        <v>47</v>
      </c>
      <c r="D33" s="49" t="s">
        <v>48</v>
      </c>
      <c r="E33" s="49" t="s">
        <v>130</v>
      </c>
      <c r="F33" s="49" t="s">
        <v>137</v>
      </c>
      <c r="G33" s="49" t="s">
        <v>136</v>
      </c>
      <c r="H33" s="49" t="s">
        <v>1382</v>
      </c>
      <c r="I33" s="49" t="s">
        <v>1383</v>
      </c>
      <c r="J33" s="49" t="s">
        <v>1383</v>
      </c>
      <c r="K33" s="49" t="s">
        <v>133</v>
      </c>
      <c r="L33" s="50">
        <v>1</v>
      </c>
      <c r="M33" s="51">
        <v>30</v>
      </c>
      <c r="N33" s="52">
        <f t="shared" si="0"/>
        <v>0.5</v>
      </c>
      <c r="O33" s="53">
        <v>30</v>
      </c>
      <c r="P33" s="54">
        <f t="shared" si="1"/>
        <v>15</v>
      </c>
      <c r="Q33" s="49" t="s">
        <v>1494</v>
      </c>
      <c r="R33" s="49" t="s">
        <v>466</v>
      </c>
      <c r="S33" s="49" t="s">
        <v>1385</v>
      </c>
      <c r="T33" s="49" t="s">
        <v>1386</v>
      </c>
      <c r="U33" s="49" t="s">
        <v>1504</v>
      </c>
      <c r="V33" s="49" t="s">
        <v>51</v>
      </c>
      <c r="W33" s="49" t="s">
        <v>139</v>
      </c>
      <c r="X33" s="49" t="s">
        <v>138</v>
      </c>
      <c r="Y33" s="49"/>
      <c r="Z33" s="49" t="s">
        <v>1516</v>
      </c>
      <c r="AA33" s="49" t="s">
        <v>1390</v>
      </c>
    </row>
    <row r="34" spans="1:27" ht="76" hidden="1" customHeight="1">
      <c r="A34" s="49" t="s">
        <v>1517</v>
      </c>
      <c r="B34" s="49" t="s">
        <v>17</v>
      </c>
      <c r="C34" s="49" t="s">
        <v>47</v>
      </c>
      <c r="D34" s="49" t="s">
        <v>1489</v>
      </c>
      <c r="E34" s="49" t="s">
        <v>1518</v>
      </c>
      <c r="F34" s="49" t="s">
        <v>1519</v>
      </c>
      <c r="G34" s="49" t="s">
        <v>1520</v>
      </c>
      <c r="H34" s="49" t="s">
        <v>1521</v>
      </c>
      <c r="I34" s="49" t="s">
        <v>1405</v>
      </c>
      <c r="J34" s="56" t="s">
        <v>1405</v>
      </c>
      <c r="K34" s="49" t="s">
        <v>23</v>
      </c>
      <c r="L34" s="50">
        <v>1</v>
      </c>
      <c r="M34" s="51">
        <v>60</v>
      </c>
      <c r="N34" s="52">
        <f t="shared" si="0"/>
        <v>1</v>
      </c>
      <c r="O34" s="53">
        <v>30</v>
      </c>
      <c r="P34" s="54">
        <f t="shared" si="1"/>
        <v>30</v>
      </c>
      <c r="Q34" s="49" t="s">
        <v>1522</v>
      </c>
      <c r="R34" s="49" t="s">
        <v>466</v>
      </c>
      <c r="S34" s="49" t="s">
        <v>1385</v>
      </c>
      <c r="T34" s="49" t="s">
        <v>1386</v>
      </c>
      <c r="U34" s="49" t="s">
        <v>1504</v>
      </c>
      <c r="V34" s="49" t="s">
        <v>1523</v>
      </c>
      <c r="W34" s="49" t="s">
        <v>1524</v>
      </c>
      <c r="X34" s="49" t="s">
        <v>1525</v>
      </c>
      <c r="Y34" s="49" t="s">
        <v>1526</v>
      </c>
      <c r="Z34" s="49" t="s">
        <v>840</v>
      </c>
      <c r="AA34" s="49" t="s">
        <v>1390</v>
      </c>
    </row>
    <row r="35" spans="1:27" ht="76" hidden="1" customHeight="1">
      <c r="A35" s="49" t="s">
        <v>1527</v>
      </c>
      <c r="B35" s="49" t="s">
        <v>17</v>
      </c>
      <c r="C35" s="49" t="s">
        <v>47</v>
      </c>
      <c r="D35" s="49" t="s">
        <v>1489</v>
      </c>
      <c r="E35" s="49" t="s">
        <v>1518</v>
      </c>
      <c r="F35" s="49" t="s">
        <v>1528</v>
      </c>
      <c r="G35" s="49" t="s">
        <v>1529</v>
      </c>
      <c r="H35" s="49" t="s">
        <v>1521</v>
      </c>
      <c r="I35" s="49" t="s">
        <v>1405</v>
      </c>
      <c r="J35" s="56" t="s">
        <v>1405</v>
      </c>
      <c r="K35" s="49" t="s">
        <v>23</v>
      </c>
      <c r="L35" s="50">
        <v>1</v>
      </c>
      <c r="M35" s="51">
        <v>60</v>
      </c>
      <c r="N35" s="52">
        <f t="shared" si="0"/>
        <v>1</v>
      </c>
      <c r="O35" s="53">
        <v>30</v>
      </c>
      <c r="P35" s="54">
        <f t="shared" si="1"/>
        <v>30</v>
      </c>
      <c r="Q35" s="49" t="s">
        <v>1522</v>
      </c>
      <c r="R35" s="49" t="s">
        <v>466</v>
      </c>
      <c r="S35" s="49" t="s">
        <v>1385</v>
      </c>
      <c r="T35" s="49" t="s">
        <v>1386</v>
      </c>
      <c r="U35" s="49" t="s">
        <v>1504</v>
      </c>
      <c r="V35" s="49" t="s">
        <v>1523</v>
      </c>
      <c r="W35" s="49" t="s">
        <v>1524</v>
      </c>
      <c r="X35" s="49" t="s">
        <v>1525</v>
      </c>
      <c r="Y35" s="49" t="s">
        <v>1526</v>
      </c>
      <c r="Z35" s="49" t="s">
        <v>848</v>
      </c>
      <c r="AA35" s="49" t="s">
        <v>1390</v>
      </c>
    </row>
    <row r="36" spans="1:27" ht="76" hidden="1" customHeight="1">
      <c r="A36" s="49" t="s">
        <v>1530</v>
      </c>
      <c r="B36" s="49" t="s">
        <v>17</v>
      </c>
      <c r="C36" s="49" t="s">
        <v>47</v>
      </c>
      <c r="D36" s="49" t="s">
        <v>1489</v>
      </c>
      <c r="E36" s="49" t="s">
        <v>1518</v>
      </c>
      <c r="F36" s="49" t="s">
        <v>1531</v>
      </c>
      <c r="G36" s="49" t="s">
        <v>1532</v>
      </c>
      <c r="H36" s="49" t="s">
        <v>1521</v>
      </c>
      <c r="I36" s="49" t="s">
        <v>1405</v>
      </c>
      <c r="J36" s="56" t="s">
        <v>1405</v>
      </c>
      <c r="K36" s="49" t="s">
        <v>23</v>
      </c>
      <c r="L36" s="50">
        <v>1</v>
      </c>
      <c r="M36" s="51">
        <v>30</v>
      </c>
      <c r="N36" s="52">
        <f t="shared" si="0"/>
        <v>0.5</v>
      </c>
      <c r="O36" s="53">
        <v>30</v>
      </c>
      <c r="P36" s="54">
        <f t="shared" si="1"/>
        <v>15</v>
      </c>
      <c r="Q36" s="49" t="s">
        <v>1522</v>
      </c>
      <c r="R36" s="49" t="s">
        <v>466</v>
      </c>
      <c r="S36" s="49" t="s">
        <v>1385</v>
      </c>
      <c r="T36" s="49" t="s">
        <v>1386</v>
      </c>
      <c r="U36" s="49" t="s">
        <v>1504</v>
      </c>
      <c r="V36" s="49" t="s">
        <v>1523</v>
      </c>
      <c r="W36" s="49" t="s">
        <v>1524</v>
      </c>
      <c r="X36" s="49" t="s">
        <v>1525</v>
      </c>
      <c r="Y36" s="49" t="s">
        <v>1526</v>
      </c>
      <c r="Z36" s="49" t="s">
        <v>851</v>
      </c>
      <c r="AA36" s="49" t="s">
        <v>1390</v>
      </c>
    </row>
    <row r="37" spans="1:27" ht="76" hidden="1" customHeight="1">
      <c r="A37" s="49" t="s">
        <v>1533</v>
      </c>
      <c r="B37" s="49" t="s">
        <v>17</v>
      </c>
      <c r="C37" s="49" t="s">
        <v>47</v>
      </c>
      <c r="D37" s="49" t="s">
        <v>1489</v>
      </c>
      <c r="E37" s="49" t="s">
        <v>1518</v>
      </c>
      <c r="F37" s="49" t="s">
        <v>1534</v>
      </c>
      <c r="G37" s="49" t="s">
        <v>1535</v>
      </c>
      <c r="H37" s="49" t="s">
        <v>1521</v>
      </c>
      <c r="I37" s="49" t="s">
        <v>1405</v>
      </c>
      <c r="J37" s="56" t="s">
        <v>1405</v>
      </c>
      <c r="K37" s="49" t="s">
        <v>23</v>
      </c>
      <c r="L37" s="50">
        <v>1</v>
      </c>
      <c r="M37" s="51">
        <v>120</v>
      </c>
      <c r="N37" s="52">
        <f t="shared" si="0"/>
        <v>2</v>
      </c>
      <c r="O37" s="53">
        <v>30</v>
      </c>
      <c r="P37" s="54">
        <f t="shared" si="1"/>
        <v>60</v>
      </c>
      <c r="Q37" s="49" t="s">
        <v>1522</v>
      </c>
      <c r="R37" s="49" t="s">
        <v>466</v>
      </c>
      <c r="S37" s="49" t="s">
        <v>1385</v>
      </c>
      <c r="T37" s="49" t="s">
        <v>1386</v>
      </c>
      <c r="U37" s="49" t="s">
        <v>1504</v>
      </c>
      <c r="V37" s="49" t="s">
        <v>1523</v>
      </c>
      <c r="W37" s="49" t="s">
        <v>1524</v>
      </c>
      <c r="X37" s="49" t="s">
        <v>1525</v>
      </c>
      <c r="Y37" s="49" t="s">
        <v>1526</v>
      </c>
      <c r="Z37" s="49" t="s">
        <v>855</v>
      </c>
      <c r="AA37" s="49" t="s">
        <v>1390</v>
      </c>
    </row>
    <row r="38" spans="1:27" ht="76" hidden="1" customHeight="1">
      <c r="A38" s="49" t="s">
        <v>1536</v>
      </c>
      <c r="B38" s="49" t="s">
        <v>17</v>
      </c>
      <c r="C38" s="49" t="s">
        <v>47</v>
      </c>
      <c r="D38" s="49" t="s">
        <v>1489</v>
      </c>
      <c r="E38" s="49" t="s">
        <v>1518</v>
      </c>
      <c r="F38" s="49" t="s">
        <v>1537</v>
      </c>
      <c r="G38" s="49" t="s">
        <v>1538</v>
      </c>
      <c r="H38" s="49" t="s">
        <v>1521</v>
      </c>
      <c r="I38" s="49" t="s">
        <v>1405</v>
      </c>
      <c r="J38" s="56" t="s">
        <v>1405</v>
      </c>
      <c r="K38" s="49" t="s">
        <v>23</v>
      </c>
      <c r="L38" s="50">
        <v>1</v>
      </c>
      <c r="M38" s="51">
        <v>30</v>
      </c>
      <c r="N38" s="52">
        <f t="shared" si="0"/>
        <v>0.5</v>
      </c>
      <c r="O38" s="53">
        <v>30</v>
      </c>
      <c r="P38" s="54">
        <f t="shared" si="1"/>
        <v>15</v>
      </c>
      <c r="Q38" s="49" t="s">
        <v>1522</v>
      </c>
      <c r="R38" s="49" t="s">
        <v>466</v>
      </c>
      <c r="S38" s="49" t="s">
        <v>1385</v>
      </c>
      <c r="T38" s="49" t="s">
        <v>1386</v>
      </c>
      <c r="U38" s="49" t="s">
        <v>1504</v>
      </c>
      <c r="V38" s="49" t="s">
        <v>1523</v>
      </c>
      <c r="W38" s="49" t="s">
        <v>1524</v>
      </c>
      <c r="X38" s="49" t="s">
        <v>1525</v>
      </c>
      <c r="Y38" s="49" t="s">
        <v>1526</v>
      </c>
      <c r="Z38" s="49" t="s">
        <v>859</v>
      </c>
      <c r="AA38" s="49" t="s">
        <v>1390</v>
      </c>
    </row>
    <row r="39" spans="1:27" ht="76" hidden="1" customHeight="1">
      <c r="A39" s="49" t="s">
        <v>1539</v>
      </c>
      <c r="B39" s="49" t="s">
        <v>17</v>
      </c>
      <c r="C39" s="49" t="s">
        <v>47</v>
      </c>
      <c r="D39" s="49" t="s">
        <v>1489</v>
      </c>
      <c r="E39" s="49" t="s">
        <v>1518</v>
      </c>
      <c r="F39" s="49" t="s">
        <v>1540</v>
      </c>
      <c r="G39" s="49" t="s">
        <v>1541</v>
      </c>
      <c r="H39" s="49" t="s">
        <v>1521</v>
      </c>
      <c r="I39" s="49" t="s">
        <v>1405</v>
      </c>
      <c r="J39" s="56" t="s">
        <v>1405</v>
      </c>
      <c r="K39" s="49" t="s">
        <v>23</v>
      </c>
      <c r="L39" s="50">
        <v>1</v>
      </c>
      <c r="M39" s="51">
        <v>60</v>
      </c>
      <c r="N39" s="52">
        <f t="shared" si="0"/>
        <v>1</v>
      </c>
      <c r="O39" s="53">
        <v>30</v>
      </c>
      <c r="P39" s="54">
        <f t="shared" si="1"/>
        <v>30</v>
      </c>
      <c r="Q39" s="49" t="s">
        <v>1522</v>
      </c>
      <c r="R39" s="49" t="s">
        <v>466</v>
      </c>
      <c r="S39" s="49" t="s">
        <v>1385</v>
      </c>
      <c r="T39" s="49" t="s">
        <v>1386</v>
      </c>
      <c r="U39" s="49" t="s">
        <v>1504</v>
      </c>
      <c r="V39" s="49" t="s">
        <v>1523</v>
      </c>
      <c r="W39" s="49" t="s">
        <v>1524</v>
      </c>
      <c r="X39" s="49" t="s">
        <v>1525</v>
      </c>
      <c r="Y39" s="49" t="s">
        <v>1526</v>
      </c>
      <c r="Z39" s="49" t="s">
        <v>862</v>
      </c>
      <c r="AA39" s="49" t="s">
        <v>1390</v>
      </c>
    </row>
    <row r="40" spans="1:27" ht="52" hidden="1" customHeight="1">
      <c r="A40" s="49" t="s">
        <v>1542</v>
      </c>
      <c r="B40" s="49" t="s">
        <v>17</v>
      </c>
      <c r="C40" s="49" t="s">
        <v>47</v>
      </c>
      <c r="D40" s="49" t="s">
        <v>1489</v>
      </c>
      <c r="E40" s="49" t="s">
        <v>141</v>
      </c>
      <c r="F40" s="49" t="s">
        <v>1543</v>
      </c>
      <c r="G40" s="49" t="s">
        <v>1544</v>
      </c>
      <c r="H40" s="49" t="s">
        <v>1404</v>
      </c>
      <c r="I40" s="49" t="s">
        <v>1405</v>
      </c>
      <c r="J40" s="56" t="s">
        <v>1405</v>
      </c>
      <c r="K40" s="49" t="s">
        <v>23</v>
      </c>
      <c r="L40" s="50">
        <v>1</v>
      </c>
      <c r="M40" s="51">
        <v>180</v>
      </c>
      <c r="N40" s="52">
        <f t="shared" si="0"/>
        <v>3</v>
      </c>
      <c r="O40" s="53">
        <v>25</v>
      </c>
      <c r="P40" s="54">
        <f t="shared" si="1"/>
        <v>75</v>
      </c>
      <c r="Q40" s="49" t="s">
        <v>1406</v>
      </c>
      <c r="R40" s="49" t="s">
        <v>466</v>
      </c>
      <c r="S40" s="49" t="s">
        <v>1385</v>
      </c>
      <c r="T40" s="49" t="s">
        <v>1386</v>
      </c>
      <c r="U40" s="49" t="s">
        <v>1545</v>
      </c>
      <c r="V40" s="49" t="s">
        <v>31</v>
      </c>
      <c r="W40" s="49" t="s">
        <v>1546</v>
      </c>
      <c r="X40" s="49" t="s">
        <v>1547</v>
      </c>
      <c r="Y40" s="49"/>
      <c r="Z40" s="49" t="s">
        <v>1548</v>
      </c>
      <c r="AA40" s="49" t="s">
        <v>1390</v>
      </c>
    </row>
    <row r="41" spans="1:27" ht="76" hidden="1" customHeight="1">
      <c r="A41" s="49" t="s">
        <v>1549</v>
      </c>
      <c r="B41" s="49" t="s">
        <v>17</v>
      </c>
      <c r="C41" s="49" t="s">
        <v>47</v>
      </c>
      <c r="D41" s="49" t="s">
        <v>1489</v>
      </c>
      <c r="E41" s="49" t="s">
        <v>141</v>
      </c>
      <c r="F41" s="49" t="s">
        <v>1550</v>
      </c>
      <c r="G41" s="49" t="s">
        <v>1551</v>
      </c>
      <c r="H41" s="49" t="s">
        <v>1439</v>
      </c>
      <c r="I41" s="49" t="s">
        <v>1405</v>
      </c>
      <c r="J41" s="56" t="s">
        <v>1405</v>
      </c>
      <c r="K41" s="49" t="s">
        <v>23</v>
      </c>
      <c r="L41" s="50">
        <v>1</v>
      </c>
      <c r="M41" s="51">
        <v>60</v>
      </c>
      <c r="N41" s="52">
        <f t="shared" si="0"/>
        <v>1</v>
      </c>
      <c r="O41" s="53">
        <v>25</v>
      </c>
      <c r="P41" s="54">
        <f t="shared" si="1"/>
        <v>25</v>
      </c>
      <c r="Q41" s="49" t="s">
        <v>1441</v>
      </c>
      <c r="R41" s="49" t="s">
        <v>466</v>
      </c>
      <c r="S41" s="49" t="s">
        <v>1385</v>
      </c>
      <c r="T41" s="49" t="s">
        <v>1386</v>
      </c>
      <c r="U41" s="49" t="s">
        <v>1552</v>
      </c>
      <c r="V41" s="49" t="s">
        <v>1443</v>
      </c>
      <c r="W41" s="49" t="s">
        <v>1444</v>
      </c>
      <c r="X41" s="49" t="s">
        <v>1445</v>
      </c>
      <c r="Y41" s="49" t="s">
        <v>1446</v>
      </c>
      <c r="Z41" s="49" t="s">
        <v>905</v>
      </c>
      <c r="AA41" s="49" t="s">
        <v>1390</v>
      </c>
    </row>
    <row r="42" spans="1:27" ht="52" customHeight="1">
      <c r="A42" s="49" t="s">
        <v>1553</v>
      </c>
      <c r="B42" s="49" t="s">
        <v>17</v>
      </c>
      <c r="C42" s="49" t="s">
        <v>47</v>
      </c>
      <c r="D42" s="49" t="s">
        <v>1554</v>
      </c>
      <c r="E42" s="49" t="s">
        <v>1555</v>
      </c>
      <c r="F42" s="49" t="s">
        <v>1556</v>
      </c>
      <c r="G42" s="49" t="s">
        <v>1557</v>
      </c>
      <c r="H42" s="49" t="s">
        <v>1558</v>
      </c>
      <c r="I42" s="49" t="s">
        <v>1559</v>
      </c>
      <c r="J42" s="49" t="s">
        <v>1405</v>
      </c>
      <c r="K42" s="49" t="s">
        <v>1560</v>
      </c>
      <c r="L42" s="50"/>
      <c r="M42" s="51"/>
      <c r="N42" s="52" t="str">
        <f t="shared" si="0"/>
        <v/>
      </c>
      <c r="O42" s="53"/>
      <c r="P42" s="54" t="str">
        <f t="shared" si="1"/>
        <v/>
      </c>
      <c r="Q42" s="49" t="s">
        <v>1561</v>
      </c>
      <c r="R42" s="49" t="s">
        <v>1562</v>
      </c>
      <c r="S42" s="49" t="s">
        <v>1563</v>
      </c>
      <c r="T42" s="49" t="s">
        <v>1386</v>
      </c>
      <c r="U42" s="49" t="s">
        <v>1564</v>
      </c>
      <c r="V42" s="49" t="s">
        <v>1207</v>
      </c>
      <c r="W42" s="49" t="s">
        <v>1565</v>
      </c>
      <c r="X42" s="49" t="s">
        <v>1566</v>
      </c>
      <c r="Y42" s="49" t="s">
        <v>1567</v>
      </c>
      <c r="Z42" s="49" t="s">
        <v>935</v>
      </c>
      <c r="AA42" s="49" t="s">
        <v>1568</v>
      </c>
    </row>
    <row r="43" spans="1:27" ht="52" customHeight="1">
      <c r="A43" s="49" t="s">
        <v>140</v>
      </c>
      <c r="B43" s="49" t="s">
        <v>17</v>
      </c>
      <c r="C43" s="49" t="s">
        <v>47</v>
      </c>
      <c r="D43" s="49" t="s">
        <v>48</v>
      </c>
      <c r="E43" s="49" t="s">
        <v>141</v>
      </c>
      <c r="F43" s="49" t="s">
        <v>143</v>
      </c>
      <c r="G43" s="49" t="s">
        <v>142</v>
      </c>
      <c r="H43" s="49" t="s">
        <v>1382</v>
      </c>
      <c r="I43" s="49" t="s">
        <v>1383</v>
      </c>
      <c r="J43" s="49" t="s">
        <v>1383</v>
      </c>
      <c r="K43" s="49" t="s">
        <v>23</v>
      </c>
      <c r="L43" s="50">
        <v>1</v>
      </c>
      <c r="M43" s="51">
        <v>30</v>
      </c>
      <c r="N43" s="52">
        <f t="shared" si="0"/>
        <v>0.5</v>
      </c>
      <c r="O43" s="53">
        <v>30</v>
      </c>
      <c r="P43" s="54">
        <f t="shared" si="1"/>
        <v>15</v>
      </c>
      <c r="Q43" s="49" t="s">
        <v>1569</v>
      </c>
      <c r="R43" s="49" t="s">
        <v>466</v>
      </c>
      <c r="S43" s="49" t="s">
        <v>1385</v>
      </c>
      <c r="T43" s="49" t="s">
        <v>1386</v>
      </c>
      <c r="U43" s="49" t="s">
        <v>1504</v>
      </c>
      <c r="V43" s="49" t="s">
        <v>51</v>
      </c>
      <c r="W43" s="49" t="s">
        <v>145</v>
      </c>
      <c r="X43" s="49" t="s">
        <v>144</v>
      </c>
      <c r="Y43" s="49"/>
      <c r="Z43" s="49" t="s">
        <v>1570</v>
      </c>
      <c r="AA43" s="49" t="s">
        <v>1390</v>
      </c>
    </row>
    <row r="44" spans="1:27" ht="52" customHeight="1">
      <c r="A44" s="49" t="s">
        <v>146</v>
      </c>
      <c r="B44" s="49" t="s">
        <v>17</v>
      </c>
      <c r="C44" s="49" t="s">
        <v>47</v>
      </c>
      <c r="D44" s="49" t="s">
        <v>48</v>
      </c>
      <c r="E44" s="49" t="s">
        <v>141</v>
      </c>
      <c r="F44" s="49" t="s">
        <v>148</v>
      </c>
      <c r="G44" s="49" t="s">
        <v>147</v>
      </c>
      <c r="H44" s="49" t="s">
        <v>1382</v>
      </c>
      <c r="I44" s="49" t="s">
        <v>1383</v>
      </c>
      <c r="J44" s="49" t="s">
        <v>1383</v>
      </c>
      <c r="K44" s="49" t="s">
        <v>23</v>
      </c>
      <c r="L44" s="50">
        <v>1</v>
      </c>
      <c r="M44" s="51">
        <v>90</v>
      </c>
      <c r="N44" s="52">
        <f t="shared" si="0"/>
        <v>1.5</v>
      </c>
      <c r="O44" s="53">
        <v>30</v>
      </c>
      <c r="P44" s="54">
        <f t="shared" si="1"/>
        <v>45</v>
      </c>
      <c r="Q44" s="49" t="s">
        <v>1569</v>
      </c>
      <c r="R44" s="49" t="s">
        <v>466</v>
      </c>
      <c r="S44" s="49" t="s">
        <v>1385</v>
      </c>
      <c r="T44" s="49" t="s">
        <v>1386</v>
      </c>
      <c r="U44" s="49" t="s">
        <v>1504</v>
      </c>
      <c r="V44" s="49" t="s">
        <v>51</v>
      </c>
      <c r="W44" s="49" t="s">
        <v>150</v>
      </c>
      <c r="X44" s="49" t="s">
        <v>149</v>
      </c>
      <c r="Y44" s="49"/>
      <c r="Z44" s="49" t="s">
        <v>1571</v>
      </c>
      <c r="AA44" s="49" t="s">
        <v>1390</v>
      </c>
    </row>
    <row r="45" spans="1:27" ht="52" customHeight="1">
      <c r="A45" s="49" t="s">
        <v>151</v>
      </c>
      <c r="B45" s="49" t="s">
        <v>17</v>
      </c>
      <c r="C45" s="49" t="s">
        <v>47</v>
      </c>
      <c r="D45" s="49" t="s">
        <v>48</v>
      </c>
      <c r="E45" s="49" t="s">
        <v>141</v>
      </c>
      <c r="F45" s="49" t="s">
        <v>153</v>
      </c>
      <c r="G45" s="49" t="s">
        <v>152</v>
      </c>
      <c r="H45" s="49" t="s">
        <v>1382</v>
      </c>
      <c r="I45" s="49" t="s">
        <v>1383</v>
      </c>
      <c r="J45" s="49" t="s">
        <v>1383</v>
      </c>
      <c r="K45" s="49" t="s">
        <v>23</v>
      </c>
      <c r="L45" s="50">
        <v>1</v>
      </c>
      <c r="M45" s="51">
        <v>30</v>
      </c>
      <c r="N45" s="52">
        <f t="shared" si="0"/>
        <v>0.5</v>
      </c>
      <c r="O45" s="53">
        <v>30</v>
      </c>
      <c r="P45" s="54">
        <f t="shared" si="1"/>
        <v>15</v>
      </c>
      <c r="Q45" s="49" t="s">
        <v>1569</v>
      </c>
      <c r="R45" s="49" t="s">
        <v>466</v>
      </c>
      <c r="S45" s="49" t="s">
        <v>1385</v>
      </c>
      <c r="T45" s="49" t="s">
        <v>1386</v>
      </c>
      <c r="U45" s="49" t="s">
        <v>1504</v>
      </c>
      <c r="V45" s="49" t="s">
        <v>51</v>
      </c>
      <c r="W45" s="49" t="s">
        <v>88</v>
      </c>
      <c r="X45" s="49" t="s">
        <v>154</v>
      </c>
      <c r="Y45" s="49"/>
      <c r="Z45" s="49" t="s">
        <v>1572</v>
      </c>
      <c r="AA45" s="49" t="s">
        <v>1390</v>
      </c>
    </row>
    <row r="46" spans="1:27" ht="52" customHeight="1">
      <c r="A46" s="49" t="s">
        <v>155</v>
      </c>
      <c r="B46" s="49" t="s">
        <v>17</v>
      </c>
      <c r="C46" s="49" t="s">
        <v>47</v>
      </c>
      <c r="D46" s="49" t="s">
        <v>48</v>
      </c>
      <c r="E46" s="49" t="s">
        <v>156</v>
      </c>
      <c r="F46" s="49" t="s">
        <v>158</v>
      </c>
      <c r="G46" s="49" t="s">
        <v>157</v>
      </c>
      <c r="H46" s="49" t="s">
        <v>1382</v>
      </c>
      <c r="I46" s="49" t="s">
        <v>1383</v>
      </c>
      <c r="J46" s="49" t="s">
        <v>1383</v>
      </c>
      <c r="K46" s="49" t="s">
        <v>159</v>
      </c>
      <c r="L46" s="50">
        <v>1</v>
      </c>
      <c r="M46" s="51">
        <v>240</v>
      </c>
      <c r="N46" s="52">
        <f t="shared" si="0"/>
        <v>4</v>
      </c>
      <c r="O46" s="53">
        <v>30</v>
      </c>
      <c r="P46" s="54">
        <f t="shared" si="1"/>
        <v>120</v>
      </c>
      <c r="Q46" s="49" t="s">
        <v>1573</v>
      </c>
      <c r="R46" s="49" t="s">
        <v>466</v>
      </c>
      <c r="S46" s="49" t="s">
        <v>1385</v>
      </c>
      <c r="T46" s="49" t="s">
        <v>1386</v>
      </c>
      <c r="U46" s="49" t="s">
        <v>1574</v>
      </c>
      <c r="V46" s="49" t="s">
        <v>51</v>
      </c>
      <c r="W46" s="49" t="s">
        <v>161</v>
      </c>
      <c r="X46" s="49" t="s">
        <v>160</v>
      </c>
      <c r="Y46" s="49"/>
      <c r="Z46" s="49" t="s">
        <v>1575</v>
      </c>
      <c r="AA46" s="49" t="s">
        <v>1390</v>
      </c>
    </row>
    <row r="47" spans="1:27" ht="52" customHeight="1">
      <c r="A47" s="49" t="s">
        <v>162</v>
      </c>
      <c r="B47" s="49" t="s">
        <v>17</v>
      </c>
      <c r="C47" s="49" t="s">
        <v>163</v>
      </c>
      <c r="D47" s="49" t="s">
        <v>164</v>
      </c>
      <c r="E47" s="49" t="s">
        <v>165</v>
      </c>
      <c r="F47" s="49" t="s">
        <v>167</v>
      </c>
      <c r="G47" s="49" t="s">
        <v>166</v>
      </c>
      <c r="H47" s="49" t="s">
        <v>1382</v>
      </c>
      <c r="I47" s="49" t="s">
        <v>1383</v>
      </c>
      <c r="J47" s="49" t="s">
        <v>1383</v>
      </c>
      <c r="K47" s="49" t="s">
        <v>23</v>
      </c>
      <c r="L47" s="50">
        <v>1</v>
      </c>
      <c r="M47" s="51">
        <v>240</v>
      </c>
      <c r="N47" s="52">
        <f t="shared" si="0"/>
        <v>4</v>
      </c>
      <c r="O47" s="53">
        <v>30</v>
      </c>
      <c r="P47" s="54">
        <f t="shared" si="1"/>
        <v>120</v>
      </c>
      <c r="Q47" s="49" t="s">
        <v>1569</v>
      </c>
      <c r="R47" s="49" t="s">
        <v>466</v>
      </c>
      <c r="S47" s="49" t="s">
        <v>1385</v>
      </c>
      <c r="T47" s="49" t="s">
        <v>1386</v>
      </c>
      <c r="U47" s="49" t="s">
        <v>1504</v>
      </c>
      <c r="V47" s="49" t="s">
        <v>51</v>
      </c>
      <c r="W47" s="49" t="s">
        <v>169</v>
      </c>
      <c r="X47" s="49" t="s">
        <v>168</v>
      </c>
      <c r="Y47" s="49"/>
      <c r="Z47" s="49" t="s">
        <v>1576</v>
      </c>
      <c r="AA47" s="49" t="s">
        <v>1577</v>
      </c>
    </row>
    <row r="48" spans="1:27" ht="52" customHeight="1">
      <c r="A48" s="49" t="s">
        <v>170</v>
      </c>
      <c r="B48" s="49" t="s">
        <v>17</v>
      </c>
      <c r="C48" s="49" t="s">
        <v>163</v>
      </c>
      <c r="D48" s="49" t="s">
        <v>164</v>
      </c>
      <c r="E48" s="49" t="s">
        <v>28</v>
      </c>
      <c r="F48" s="49" t="s">
        <v>1578</v>
      </c>
      <c r="G48" s="49" t="s">
        <v>1579</v>
      </c>
      <c r="H48" s="49" t="s">
        <v>1382</v>
      </c>
      <c r="I48" s="49" t="s">
        <v>1383</v>
      </c>
      <c r="J48" s="49" t="s">
        <v>1383</v>
      </c>
      <c r="K48" s="49" t="s">
        <v>23</v>
      </c>
      <c r="L48" s="50">
        <v>1</v>
      </c>
      <c r="M48" s="51">
        <v>240</v>
      </c>
      <c r="N48" s="52">
        <f t="shared" si="0"/>
        <v>4</v>
      </c>
      <c r="O48" s="53">
        <v>30</v>
      </c>
      <c r="P48" s="54">
        <f t="shared" si="1"/>
        <v>120</v>
      </c>
      <c r="Q48" s="49" t="s">
        <v>1569</v>
      </c>
      <c r="R48" s="49" t="s">
        <v>466</v>
      </c>
      <c r="S48" s="49" t="s">
        <v>1385</v>
      </c>
      <c r="T48" s="49" t="s">
        <v>1386</v>
      </c>
      <c r="U48" s="49" t="s">
        <v>1398</v>
      </c>
      <c r="V48" s="49" t="s">
        <v>31</v>
      </c>
      <c r="W48" s="49" t="s">
        <v>1580</v>
      </c>
      <c r="X48" s="49" t="s">
        <v>1581</v>
      </c>
      <c r="Y48" s="49"/>
      <c r="Z48" s="49" t="s">
        <v>1582</v>
      </c>
      <c r="AA48" s="49" t="s">
        <v>1577</v>
      </c>
    </row>
    <row r="49" spans="1:27" ht="108" hidden="1" customHeight="1">
      <c r="A49" s="49" t="s">
        <v>1583</v>
      </c>
      <c r="B49" s="49" t="s">
        <v>17</v>
      </c>
      <c r="C49" s="49" t="s">
        <v>163</v>
      </c>
      <c r="D49" s="49" t="s">
        <v>164</v>
      </c>
      <c r="E49" s="49" t="s">
        <v>28</v>
      </c>
      <c r="F49" s="49" t="s">
        <v>1584</v>
      </c>
      <c r="G49" s="49" t="s">
        <v>1585</v>
      </c>
      <c r="H49" s="49" t="s">
        <v>1586</v>
      </c>
      <c r="I49" s="49" t="s">
        <v>1405</v>
      </c>
      <c r="J49" s="56" t="s">
        <v>1405</v>
      </c>
      <c r="K49" s="49" t="s">
        <v>23</v>
      </c>
      <c r="L49" s="50">
        <v>1</v>
      </c>
      <c r="M49" s="51">
        <v>120</v>
      </c>
      <c r="N49" s="52">
        <f t="shared" si="0"/>
        <v>2</v>
      </c>
      <c r="O49" s="53">
        <v>30</v>
      </c>
      <c r="P49" s="54">
        <f t="shared" si="1"/>
        <v>60</v>
      </c>
      <c r="Q49" s="49" t="s">
        <v>1587</v>
      </c>
      <c r="R49" s="49" t="s">
        <v>466</v>
      </c>
      <c r="S49" s="49" t="s">
        <v>1385</v>
      </c>
      <c r="T49" s="49" t="s">
        <v>1386</v>
      </c>
      <c r="U49" s="49" t="s">
        <v>1398</v>
      </c>
      <c r="V49" s="49" t="s">
        <v>31</v>
      </c>
      <c r="W49" s="49" t="s">
        <v>1588</v>
      </c>
      <c r="X49" s="49" t="s">
        <v>1589</v>
      </c>
      <c r="Y49" s="49" t="s">
        <v>1590</v>
      </c>
      <c r="Z49" s="49" t="s">
        <v>871</v>
      </c>
      <c r="AA49" s="49" t="s">
        <v>1577</v>
      </c>
    </row>
    <row r="50" spans="1:27" ht="108" hidden="1" customHeight="1">
      <c r="A50" s="49" t="s">
        <v>1591</v>
      </c>
      <c r="B50" s="49" t="s">
        <v>17</v>
      </c>
      <c r="C50" s="49" t="s">
        <v>163</v>
      </c>
      <c r="D50" s="49" t="s">
        <v>164</v>
      </c>
      <c r="E50" s="49" t="s">
        <v>28</v>
      </c>
      <c r="F50" s="49" t="s">
        <v>1592</v>
      </c>
      <c r="G50" s="49" t="s">
        <v>1593</v>
      </c>
      <c r="H50" s="49" t="s">
        <v>1586</v>
      </c>
      <c r="I50" s="49" t="s">
        <v>1405</v>
      </c>
      <c r="J50" s="56" t="s">
        <v>1405</v>
      </c>
      <c r="K50" s="49" t="s">
        <v>23</v>
      </c>
      <c r="L50" s="50">
        <v>1</v>
      </c>
      <c r="M50" s="51">
        <v>60</v>
      </c>
      <c r="N50" s="52">
        <f t="shared" si="0"/>
        <v>1</v>
      </c>
      <c r="O50" s="53">
        <v>30</v>
      </c>
      <c r="P50" s="54">
        <f t="shared" si="1"/>
        <v>30</v>
      </c>
      <c r="Q50" s="49" t="s">
        <v>1587</v>
      </c>
      <c r="R50" s="49" t="s">
        <v>466</v>
      </c>
      <c r="S50" s="49" t="s">
        <v>1385</v>
      </c>
      <c r="T50" s="49" t="s">
        <v>1386</v>
      </c>
      <c r="U50" s="49" t="s">
        <v>1594</v>
      </c>
      <c r="V50" s="49" t="s">
        <v>1595</v>
      </c>
      <c r="W50" s="49" t="s">
        <v>1596</v>
      </c>
      <c r="X50" s="49" t="s">
        <v>1597</v>
      </c>
      <c r="Y50" s="49" t="s">
        <v>1598</v>
      </c>
      <c r="Z50" s="49" t="s">
        <v>877</v>
      </c>
      <c r="AA50" s="49" t="s">
        <v>1577</v>
      </c>
    </row>
    <row r="51" spans="1:27" ht="108" hidden="1" customHeight="1">
      <c r="A51" s="49" t="s">
        <v>1599</v>
      </c>
      <c r="B51" s="49" t="s">
        <v>17</v>
      </c>
      <c r="C51" s="49" t="s">
        <v>163</v>
      </c>
      <c r="D51" s="49" t="s">
        <v>164</v>
      </c>
      <c r="E51" s="49" t="s">
        <v>79</v>
      </c>
      <c r="F51" s="49" t="s">
        <v>1600</v>
      </c>
      <c r="G51" s="49" t="s">
        <v>1601</v>
      </c>
      <c r="H51" s="49" t="s">
        <v>1586</v>
      </c>
      <c r="I51" s="49" t="s">
        <v>1405</v>
      </c>
      <c r="J51" s="56" t="s">
        <v>1405</v>
      </c>
      <c r="K51" s="49" t="s">
        <v>23</v>
      </c>
      <c r="L51" s="50">
        <v>1</v>
      </c>
      <c r="M51" s="51">
        <v>180</v>
      </c>
      <c r="N51" s="52">
        <f t="shared" si="0"/>
        <v>3</v>
      </c>
      <c r="O51" s="53">
        <v>30</v>
      </c>
      <c r="P51" s="54">
        <f t="shared" si="1"/>
        <v>90</v>
      </c>
      <c r="Q51" s="55" t="s">
        <v>1587</v>
      </c>
      <c r="R51" s="55" t="s">
        <v>466</v>
      </c>
      <c r="S51" s="55" t="s">
        <v>1385</v>
      </c>
      <c r="T51" s="55" t="s">
        <v>1386</v>
      </c>
      <c r="U51" s="55" t="s">
        <v>1602</v>
      </c>
      <c r="V51" s="55" t="s">
        <v>31</v>
      </c>
      <c r="W51" s="55" t="s">
        <v>1588</v>
      </c>
      <c r="X51" s="55" t="s">
        <v>1589</v>
      </c>
      <c r="Y51" s="55" t="s">
        <v>1603</v>
      </c>
      <c r="Z51" s="49" t="s">
        <v>881</v>
      </c>
      <c r="AA51" s="49" t="s">
        <v>1577</v>
      </c>
    </row>
    <row r="52" spans="1:27" ht="108" hidden="1" customHeight="1">
      <c r="A52" s="49" t="s">
        <v>1604</v>
      </c>
      <c r="B52" s="49" t="s">
        <v>17</v>
      </c>
      <c r="C52" s="49" t="s">
        <v>163</v>
      </c>
      <c r="D52" s="49" t="s">
        <v>164</v>
      </c>
      <c r="E52" s="49" t="s">
        <v>79</v>
      </c>
      <c r="F52" s="49" t="s">
        <v>1605</v>
      </c>
      <c r="G52" s="49" t="s">
        <v>1606</v>
      </c>
      <c r="H52" s="49" t="s">
        <v>1586</v>
      </c>
      <c r="I52" s="49" t="s">
        <v>1405</v>
      </c>
      <c r="J52" s="56" t="s">
        <v>1405</v>
      </c>
      <c r="K52" s="49" t="s">
        <v>23</v>
      </c>
      <c r="L52" s="50">
        <v>1</v>
      </c>
      <c r="M52" s="51">
        <v>90</v>
      </c>
      <c r="N52" s="52">
        <f t="shared" si="0"/>
        <v>1.5</v>
      </c>
      <c r="O52" s="53">
        <v>30</v>
      </c>
      <c r="P52" s="54">
        <f t="shared" si="1"/>
        <v>45</v>
      </c>
      <c r="Q52" s="55" t="s">
        <v>1587</v>
      </c>
      <c r="R52" s="55" t="s">
        <v>466</v>
      </c>
      <c r="S52" s="55" t="s">
        <v>1385</v>
      </c>
      <c r="T52" s="55" t="s">
        <v>1386</v>
      </c>
      <c r="U52" s="55" t="s">
        <v>1607</v>
      </c>
      <c r="V52" s="55" t="s">
        <v>1608</v>
      </c>
      <c r="W52" s="55" t="s">
        <v>1609</v>
      </c>
      <c r="X52" s="55" t="s">
        <v>1610</v>
      </c>
      <c r="Y52" s="55" t="s">
        <v>1611</v>
      </c>
      <c r="Z52" s="49" t="s">
        <v>885</v>
      </c>
      <c r="AA52" s="49" t="s">
        <v>1577</v>
      </c>
    </row>
    <row r="53" spans="1:27" ht="52" customHeight="1">
      <c r="A53" s="57" t="s">
        <v>171</v>
      </c>
      <c r="B53" s="57" t="s">
        <v>17</v>
      </c>
      <c r="C53" s="57" t="s">
        <v>47</v>
      </c>
      <c r="D53" s="57" t="s">
        <v>55</v>
      </c>
      <c r="E53" s="57" t="s">
        <v>172</v>
      </c>
      <c r="F53" s="57" t="s">
        <v>174</v>
      </c>
      <c r="G53" s="57" t="s">
        <v>173</v>
      </c>
      <c r="H53" s="57" t="s">
        <v>1612</v>
      </c>
      <c r="I53" s="57" t="s">
        <v>1383</v>
      </c>
      <c r="J53" s="58" t="s">
        <v>1383</v>
      </c>
      <c r="K53" s="57" t="s">
        <v>175</v>
      </c>
      <c r="L53" s="59">
        <v>1</v>
      </c>
      <c r="M53" s="60">
        <v>30</v>
      </c>
      <c r="N53" s="61">
        <f t="shared" si="0"/>
        <v>0.5</v>
      </c>
      <c r="O53" s="62">
        <v>30</v>
      </c>
      <c r="P53" s="63">
        <f t="shared" si="1"/>
        <v>15</v>
      </c>
      <c r="Q53" s="57" t="s">
        <v>1613</v>
      </c>
      <c r="R53" s="57" t="s">
        <v>1614</v>
      </c>
      <c r="S53" s="57" t="s">
        <v>1615</v>
      </c>
      <c r="T53" s="57" t="s">
        <v>1386</v>
      </c>
      <c r="U53" s="57" t="s">
        <v>1616</v>
      </c>
      <c r="V53" s="57" t="s">
        <v>176</v>
      </c>
      <c r="W53" s="57" t="s">
        <v>178</v>
      </c>
      <c r="X53" s="57" t="s">
        <v>177</v>
      </c>
      <c r="Y53" s="57" t="s">
        <v>1617</v>
      </c>
      <c r="Z53" s="57" t="s">
        <v>1618</v>
      </c>
      <c r="AA53" s="57" t="s">
        <v>1619</v>
      </c>
    </row>
    <row r="54" spans="1:27" ht="52" customHeight="1">
      <c r="A54" s="34" t="s">
        <v>179</v>
      </c>
      <c r="B54" s="34" t="s">
        <v>17</v>
      </c>
      <c r="C54" s="34" t="s">
        <v>47</v>
      </c>
      <c r="D54" s="34" t="s">
        <v>48</v>
      </c>
      <c r="E54" s="34" t="s">
        <v>180</v>
      </c>
      <c r="F54" s="34" t="s">
        <v>182</v>
      </c>
      <c r="G54" s="34" t="s">
        <v>181</v>
      </c>
      <c r="H54" s="34" t="s">
        <v>1620</v>
      </c>
      <c r="I54" s="34" t="s">
        <v>1383</v>
      </c>
      <c r="J54" s="34" t="s">
        <v>1383</v>
      </c>
      <c r="K54" s="34" t="s">
        <v>183</v>
      </c>
      <c r="L54" s="64">
        <v>1</v>
      </c>
      <c r="M54" s="64">
        <v>30</v>
      </c>
      <c r="N54" s="65">
        <f t="shared" ref="N54:N68" si="2">IF(OR(L54="",M54=""),"",L54*M54/60)</f>
        <v>0.5</v>
      </c>
      <c r="O54" s="64">
        <v>30</v>
      </c>
      <c r="P54" s="65">
        <f t="shared" ref="P54:P68" si="3">IF(OR(N54="",O54=""),"",N54*O54)</f>
        <v>15</v>
      </c>
      <c r="Q54" s="34" t="s">
        <v>1613</v>
      </c>
      <c r="R54" s="34" t="s">
        <v>1614</v>
      </c>
      <c r="S54" s="34" t="s">
        <v>1615</v>
      </c>
      <c r="T54" s="34" t="s">
        <v>1386</v>
      </c>
      <c r="U54" s="34" t="s">
        <v>1621</v>
      </c>
      <c r="V54" s="34" t="s">
        <v>184</v>
      </c>
      <c r="W54" s="34" t="s">
        <v>186</v>
      </c>
      <c r="X54" s="34" t="s">
        <v>185</v>
      </c>
      <c r="Y54" s="34" t="s">
        <v>1617</v>
      </c>
      <c r="Z54" s="34"/>
      <c r="AA54" s="34" t="s">
        <v>1619</v>
      </c>
    </row>
    <row r="55" spans="1:27" ht="52" customHeight="1">
      <c r="A55" s="34" t="s">
        <v>187</v>
      </c>
      <c r="B55" s="34" t="s">
        <v>17</v>
      </c>
      <c r="C55" s="34" t="s">
        <v>47</v>
      </c>
      <c r="D55" s="34" t="s">
        <v>48</v>
      </c>
      <c r="E55" s="34" t="s">
        <v>188</v>
      </c>
      <c r="F55" s="34" t="s">
        <v>190</v>
      </c>
      <c r="G55" s="34" t="s">
        <v>189</v>
      </c>
      <c r="H55" s="34" t="s">
        <v>1620</v>
      </c>
      <c r="I55" s="34" t="s">
        <v>1383</v>
      </c>
      <c r="J55" s="34" t="s">
        <v>1383</v>
      </c>
      <c r="K55" s="34" t="s">
        <v>191</v>
      </c>
      <c r="L55" s="64">
        <v>1</v>
      </c>
      <c r="M55" s="64">
        <v>30</v>
      </c>
      <c r="N55" s="65">
        <f t="shared" si="2"/>
        <v>0.5</v>
      </c>
      <c r="O55" s="64">
        <v>30</v>
      </c>
      <c r="P55" s="65">
        <f t="shared" si="3"/>
        <v>15</v>
      </c>
      <c r="Q55" s="34" t="s">
        <v>1613</v>
      </c>
      <c r="R55" s="34" t="s">
        <v>1614</v>
      </c>
      <c r="S55" s="34" t="s">
        <v>1615</v>
      </c>
      <c r="T55" s="34" t="s">
        <v>1386</v>
      </c>
      <c r="U55" s="34" t="s">
        <v>1622</v>
      </c>
      <c r="V55" s="34" t="s">
        <v>184</v>
      </c>
      <c r="W55" s="34" t="s">
        <v>193</v>
      </c>
      <c r="X55" s="34" t="s">
        <v>192</v>
      </c>
      <c r="Y55" s="34" t="s">
        <v>1617</v>
      </c>
      <c r="Z55" s="34"/>
      <c r="AA55" s="34" t="s">
        <v>1619</v>
      </c>
    </row>
    <row r="56" spans="1:27" ht="52" customHeight="1">
      <c r="A56" s="34" t="s">
        <v>194</v>
      </c>
      <c r="B56" s="34" t="s">
        <v>17</v>
      </c>
      <c r="C56" s="34" t="s">
        <v>47</v>
      </c>
      <c r="D56" s="34" t="s">
        <v>48</v>
      </c>
      <c r="E56" s="34" t="s">
        <v>188</v>
      </c>
      <c r="F56" s="34" t="s">
        <v>196</v>
      </c>
      <c r="G56" s="34" t="s">
        <v>195</v>
      </c>
      <c r="H56" s="34" t="s">
        <v>1620</v>
      </c>
      <c r="I56" s="34" t="s">
        <v>1383</v>
      </c>
      <c r="J56" s="34" t="s">
        <v>1383</v>
      </c>
      <c r="K56" s="34" t="s">
        <v>175</v>
      </c>
      <c r="L56" s="64">
        <v>1</v>
      </c>
      <c r="M56" s="64">
        <v>60</v>
      </c>
      <c r="N56" s="65">
        <f t="shared" si="2"/>
        <v>1</v>
      </c>
      <c r="O56" s="64">
        <v>30</v>
      </c>
      <c r="P56" s="65">
        <f t="shared" si="3"/>
        <v>30</v>
      </c>
      <c r="Q56" s="34" t="s">
        <v>1613</v>
      </c>
      <c r="R56" s="34" t="s">
        <v>1614</v>
      </c>
      <c r="S56" s="34" t="s">
        <v>1615</v>
      </c>
      <c r="T56" s="34" t="s">
        <v>1386</v>
      </c>
      <c r="U56" s="34" t="s">
        <v>1623</v>
      </c>
      <c r="V56" s="34" t="s">
        <v>184</v>
      </c>
      <c r="W56" s="34" t="s">
        <v>198</v>
      </c>
      <c r="X56" s="34" t="s">
        <v>197</v>
      </c>
      <c r="Y56" s="34" t="s">
        <v>1617</v>
      </c>
      <c r="Z56" s="34"/>
      <c r="AA56" s="34" t="s">
        <v>1619</v>
      </c>
    </row>
    <row r="57" spans="1:27" ht="52" customHeight="1">
      <c r="A57" s="34" t="s">
        <v>199</v>
      </c>
      <c r="B57" s="34" t="s">
        <v>17</v>
      </c>
      <c r="C57" s="34" t="s">
        <v>47</v>
      </c>
      <c r="D57" s="34" t="s">
        <v>48</v>
      </c>
      <c r="E57" s="34" t="s">
        <v>79</v>
      </c>
      <c r="F57" s="34" t="s">
        <v>201</v>
      </c>
      <c r="G57" s="34" t="s">
        <v>200</v>
      </c>
      <c r="H57" s="34" t="s">
        <v>1620</v>
      </c>
      <c r="I57" s="34" t="s">
        <v>1383</v>
      </c>
      <c r="J57" s="34" t="s">
        <v>1383</v>
      </c>
      <c r="K57" s="34" t="s">
        <v>175</v>
      </c>
      <c r="L57" s="64">
        <v>1</v>
      </c>
      <c r="M57" s="64">
        <v>30</v>
      </c>
      <c r="N57" s="65">
        <f t="shared" si="2"/>
        <v>0.5</v>
      </c>
      <c r="O57" s="64">
        <v>30</v>
      </c>
      <c r="P57" s="65">
        <f t="shared" si="3"/>
        <v>15</v>
      </c>
      <c r="Q57" s="34" t="s">
        <v>1613</v>
      </c>
      <c r="R57" s="34" t="s">
        <v>1614</v>
      </c>
      <c r="S57" s="34" t="s">
        <v>1615</v>
      </c>
      <c r="T57" s="34" t="s">
        <v>1386</v>
      </c>
      <c r="U57" s="34" t="s">
        <v>1624</v>
      </c>
      <c r="V57" s="34" t="s">
        <v>184</v>
      </c>
      <c r="W57" s="34" t="s">
        <v>203</v>
      </c>
      <c r="X57" s="34" t="s">
        <v>202</v>
      </c>
      <c r="Y57" s="34" t="s">
        <v>1617</v>
      </c>
      <c r="Z57" s="34"/>
      <c r="AA57" s="34" t="s">
        <v>1619</v>
      </c>
    </row>
    <row r="58" spans="1:27" ht="52" customHeight="1">
      <c r="A58" s="34" t="s">
        <v>204</v>
      </c>
      <c r="B58" s="34" t="s">
        <v>17</v>
      </c>
      <c r="C58" s="34" t="s">
        <v>47</v>
      </c>
      <c r="D58" s="34" t="s">
        <v>48</v>
      </c>
      <c r="E58" s="34" t="s">
        <v>79</v>
      </c>
      <c r="F58" s="34" t="s">
        <v>206</v>
      </c>
      <c r="G58" s="34" t="s">
        <v>205</v>
      </c>
      <c r="H58" s="34" t="s">
        <v>1620</v>
      </c>
      <c r="I58" s="34" t="s">
        <v>1383</v>
      </c>
      <c r="J58" s="34" t="s">
        <v>1383</v>
      </c>
      <c r="K58" s="34" t="s">
        <v>207</v>
      </c>
      <c r="L58" s="64">
        <v>1</v>
      </c>
      <c r="M58" s="64">
        <v>15</v>
      </c>
      <c r="N58" s="65">
        <f t="shared" si="2"/>
        <v>0.25</v>
      </c>
      <c r="O58" s="64">
        <v>30</v>
      </c>
      <c r="P58" s="65">
        <f t="shared" si="3"/>
        <v>7.5</v>
      </c>
      <c r="Q58" s="34" t="s">
        <v>1613</v>
      </c>
      <c r="R58" s="34" t="s">
        <v>1614</v>
      </c>
      <c r="S58" s="34" t="s">
        <v>1615</v>
      </c>
      <c r="T58" s="34" t="s">
        <v>1386</v>
      </c>
      <c r="U58" s="34" t="s">
        <v>1625</v>
      </c>
      <c r="V58" s="34" t="s">
        <v>184</v>
      </c>
      <c r="W58" s="34" t="s">
        <v>209</v>
      </c>
      <c r="X58" s="34" t="s">
        <v>208</v>
      </c>
      <c r="Y58" s="34" t="s">
        <v>1617</v>
      </c>
      <c r="Z58" s="34"/>
      <c r="AA58" s="34" t="s">
        <v>1619</v>
      </c>
    </row>
    <row r="59" spans="1:27" ht="52" customHeight="1">
      <c r="A59" s="34" t="s">
        <v>210</v>
      </c>
      <c r="B59" s="34" t="s">
        <v>17</v>
      </c>
      <c r="C59" s="34" t="s">
        <v>47</v>
      </c>
      <c r="D59" s="34" t="s">
        <v>48</v>
      </c>
      <c r="E59" s="34" t="s">
        <v>99</v>
      </c>
      <c r="F59" s="34" t="s">
        <v>212</v>
      </c>
      <c r="G59" s="34" t="s">
        <v>211</v>
      </c>
      <c r="H59" s="34" t="s">
        <v>1620</v>
      </c>
      <c r="I59" s="34" t="s">
        <v>1383</v>
      </c>
      <c r="J59" s="34" t="s">
        <v>1383</v>
      </c>
      <c r="K59" s="34" t="s">
        <v>175</v>
      </c>
      <c r="L59" s="64">
        <v>1</v>
      </c>
      <c r="M59" s="64">
        <v>60</v>
      </c>
      <c r="N59" s="65">
        <f t="shared" si="2"/>
        <v>1</v>
      </c>
      <c r="O59" s="64">
        <v>30</v>
      </c>
      <c r="P59" s="65">
        <f t="shared" si="3"/>
        <v>30</v>
      </c>
      <c r="Q59" s="34" t="s">
        <v>1613</v>
      </c>
      <c r="R59" s="34" t="s">
        <v>1614</v>
      </c>
      <c r="S59" s="34" t="s">
        <v>1615</v>
      </c>
      <c r="T59" s="34" t="s">
        <v>1386</v>
      </c>
      <c r="U59" s="34" t="s">
        <v>1626</v>
      </c>
      <c r="V59" s="34" t="s">
        <v>184</v>
      </c>
      <c r="W59" s="34" t="s">
        <v>214</v>
      </c>
      <c r="X59" s="34" t="s">
        <v>213</v>
      </c>
      <c r="Y59" s="34" t="s">
        <v>1617</v>
      </c>
      <c r="Z59" s="34"/>
      <c r="AA59" s="34" t="s">
        <v>1619</v>
      </c>
    </row>
    <row r="60" spans="1:27" ht="155.6">
      <c r="A60" s="33" t="s">
        <v>215</v>
      </c>
      <c r="B60" s="33" t="s">
        <v>17</v>
      </c>
      <c r="C60" s="33" t="s">
        <v>47</v>
      </c>
      <c r="D60" s="33" t="s">
        <v>55</v>
      </c>
      <c r="E60" s="33" t="s">
        <v>216</v>
      </c>
      <c r="F60" s="33" t="s">
        <v>218</v>
      </c>
      <c r="G60" s="33" t="s">
        <v>217</v>
      </c>
      <c r="H60" s="33" t="s">
        <v>1627</v>
      </c>
      <c r="I60" s="33" t="s">
        <v>1383</v>
      </c>
      <c r="J60" s="33" t="s">
        <v>1383</v>
      </c>
      <c r="K60" s="33" t="s">
        <v>219</v>
      </c>
      <c r="L60" s="33">
        <v>1</v>
      </c>
      <c r="M60" s="33">
        <v>120</v>
      </c>
      <c r="N60" s="33">
        <f t="shared" si="2"/>
        <v>2</v>
      </c>
      <c r="O60" s="33">
        <v>25</v>
      </c>
      <c r="P60" s="33">
        <f t="shared" si="3"/>
        <v>50</v>
      </c>
      <c r="Q60" s="33" t="s">
        <v>1628</v>
      </c>
      <c r="R60" s="33" t="s">
        <v>1629</v>
      </c>
      <c r="S60" s="33" t="s">
        <v>1630</v>
      </c>
      <c r="T60" s="33" t="s">
        <v>1631</v>
      </c>
      <c r="U60" s="33" t="s">
        <v>1632</v>
      </c>
      <c r="V60" s="33" t="s">
        <v>220</v>
      </c>
      <c r="W60" s="33" t="s">
        <v>222</v>
      </c>
      <c r="X60" s="33" t="s">
        <v>221</v>
      </c>
      <c r="Y60" s="33" t="s">
        <v>1633</v>
      </c>
      <c r="Z60" s="33" t="s">
        <v>1634</v>
      </c>
      <c r="AA60" s="33" t="s">
        <v>1635</v>
      </c>
    </row>
    <row r="61" spans="1:27" ht="84.9">
      <c r="A61" s="33" t="s">
        <v>223</v>
      </c>
      <c r="B61" s="33" t="s">
        <v>17</v>
      </c>
      <c r="C61" s="33" t="s">
        <v>18</v>
      </c>
      <c r="D61" s="33" t="s">
        <v>19</v>
      </c>
      <c r="E61" s="33" t="s">
        <v>172</v>
      </c>
      <c r="F61" s="33" t="s">
        <v>225</v>
      </c>
      <c r="G61" s="33" t="s">
        <v>224</v>
      </c>
      <c r="H61" s="33" t="s">
        <v>1636</v>
      </c>
      <c r="I61" s="33" t="s">
        <v>1383</v>
      </c>
      <c r="J61" s="33" t="s">
        <v>1383</v>
      </c>
      <c r="K61" s="33" t="s">
        <v>175</v>
      </c>
      <c r="L61" s="33">
        <v>1</v>
      </c>
      <c r="M61" s="33">
        <v>30</v>
      </c>
      <c r="N61" s="33">
        <f t="shared" si="2"/>
        <v>0.5</v>
      </c>
      <c r="O61" s="33">
        <v>50</v>
      </c>
      <c r="P61" s="33">
        <f t="shared" si="3"/>
        <v>25</v>
      </c>
      <c r="Q61" s="33" t="s">
        <v>1637</v>
      </c>
      <c r="R61" s="33" t="s">
        <v>1614</v>
      </c>
      <c r="S61" s="33" t="s">
        <v>1615</v>
      </c>
      <c r="T61" s="33" t="s">
        <v>1386</v>
      </c>
      <c r="U61" s="33" t="s">
        <v>1638</v>
      </c>
      <c r="V61" s="33" t="s">
        <v>226</v>
      </c>
      <c r="W61" s="33" t="s">
        <v>228</v>
      </c>
      <c r="X61" s="33" t="s">
        <v>227</v>
      </c>
      <c r="Y61" s="33" t="s">
        <v>1617</v>
      </c>
      <c r="Z61" s="33" t="s">
        <v>790</v>
      </c>
      <c r="AA61" s="33" t="s">
        <v>1619</v>
      </c>
    </row>
    <row r="62" spans="1:27" ht="84.9">
      <c r="A62" s="33" t="s">
        <v>229</v>
      </c>
      <c r="B62" s="33" t="s">
        <v>17</v>
      </c>
      <c r="C62" s="33" t="s">
        <v>18</v>
      </c>
      <c r="D62" s="33" t="s">
        <v>19</v>
      </c>
      <c r="E62" s="33" t="s">
        <v>130</v>
      </c>
      <c r="F62" s="33" t="s">
        <v>231</v>
      </c>
      <c r="G62" s="33" t="s">
        <v>230</v>
      </c>
      <c r="H62" s="33" t="s">
        <v>1639</v>
      </c>
      <c r="I62" s="33" t="s">
        <v>1383</v>
      </c>
      <c r="J62" s="33" t="s">
        <v>1383</v>
      </c>
      <c r="K62" s="33" t="s">
        <v>133</v>
      </c>
      <c r="L62" s="33">
        <v>1</v>
      </c>
      <c r="M62" s="33">
        <v>15</v>
      </c>
      <c r="N62" s="33">
        <f t="shared" si="2"/>
        <v>0.25</v>
      </c>
      <c r="O62" s="33">
        <v>50</v>
      </c>
      <c r="P62" s="33">
        <f t="shared" si="3"/>
        <v>12.5</v>
      </c>
      <c r="Q62" s="33" t="s">
        <v>1637</v>
      </c>
      <c r="R62" s="33" t="s">
        <v>1614</v>
      </c>
      <c r="S62" s="33" t="s">
        <v>1615</v>
      </c>
      <c r="T62" s="33" t="s">
        <v>1386</v>
      </c>
      <c r="U62" s="33" t="s">
        <v>1640</v>
      </c>
      <c r="V62" s="33" t="s">
        <v>24</v>
      </c>
      <c r="W62" s="33" t="s">
        <v>233</v>
      </c>
      <c r="X62" s="33" t="s">
        <v>232</v>
      </c>
      <c r="Y62" s="33" t="s">
        <v>1617</v>
      </c>
      <c r="Z62" s="33" t="s">
        <v>790</v>
      </c>
      <c r="AA62" s="33" t="s">
        <v>1619</v>
      </c>
    </row>
    <row r="63" spans="1:27" ht="99">
      <c r="A63" s="33" t="s">
        <v>234</v>
      </c>
      <c r="B63" s="33" t="s">
        <v>17</v>
      </c>
      <c r="C63" s="33" t="s">
        <v>47</v>
      </c>
      <c r="D63" s="33" t="s">
        <v>48</v>
      </c>
      <c r="E63" s="33" t="s">
        <v>20</v>
      </c>
      <c r="F63" s="33" t="s">
        <v>236</v>
      </c>
      <c r="G63" s="33" t="s">
        <v>235</v>
      </c>
      <c r="H63" s="33" t="s">
        <v>1641</v>
      </c>
      <c r="I63" s="33" t="s">
        <v>1383</v>
      </c>
      <c r="J63" s="33" t="s">
        <v>1383</v>
      </c>
      <c r="K63" s="33" t="s">
        <v>23</v>
      </c>
      <c r="L63" s="33">
        <v>1</v>
      </c>
      <c r="M63" s="33">
        <v>30</v>
      </c>
      <c r="N63" s="33">
        <f t="shared" si="2"/>
        <v>0.5</v>
      </c>
      <c r="O63" s="33">
        <v>50</v>
      </c>
      <c r="P63" s="33">
        <f t="shared" si="3"/>
        <v>25</v>
      </c>
      <c r="Q63" s="33" t="s">
        <v>1637</v>
      </c>
      <c r="R63" s="33" t="s">
        <v>1614</v>
      </c>
      <c r="S63" s="33" t="s">
        <v>1615</v>
      </c>
      <c r="T63" s="33" t="s">
        <v>1386</v>
      </c>
      <c r="U63" s="33" t="s">
        <v>1642</v>
      </c>
      <c r="V63" s="33" t="s">
        <v>24</v>
      </c>
      <c r="W63" s="33" t="s">
        <v>238</v>
      </c>
      <c r="X63" s="33" t="s">
        <v>237</v>
      </c>
      <c r="Y63" s="33" t="s">
        <v>1617</v>
      </c>
      <c r="Z63" s="33" t="s">
        <v>790</v>
      </c>
      <c r="AA63" s="33" t="s">
        <v>1619</v>
      </c>
    </row>
    <row r="64" spans="1:27" ht="113.15">
      <c r="A64" s="33" t="s">
        <v>239</v>
      </c>
      <c r="B64" s="33" t="s">
        <v>17</v>
      </c>
      <c r="C64" s="33" t="s">
        <v>47</v>
      </c>
      <c r="D64" s="33" t="s">
        <v>48</v>
      </c>
      <c r="E64" s="33" t="s">
        <v>156</v>
      </c>
      <c r="F64" s="33" t="s">
        <v>241</v>
      </c>
      <c r="G64" s="33" t="s">
        <v>240</v>
      </c>
      <c r="H64" s="33" t="s">
        <v>1643</v>
      </c>
      <c r="I64" s="33" t="s">
        <v>1383</v>
      </c>
      <c r="J64" s="33" t="s">
        <v>1383</v>
      </c>
      <c r="K64" s="33" t="s">
        <v>175</v>
      </c>
      <c r="L64" s="33">
        <v>1</v>
      </c>
      <c r="M64" s="33">
        <v>60</v>
      </c>
      <c r="N64" s="33">
        <f t="shared" si="2"/>
        <v>1</v>
      </c>
      <c r="O64" s="33">
        <v>30</v>
      </c>
      <c r="P64" s="33">
        <f t="shared" si="3"/>
        <v>30</v>
      </c>
      <c r="Q64" s="33" t="s">
        <v>1637</v>
      </c>
      <c r="R64" s="33" t="s">
        <v>1614</v>
      </c>
      <c r="S64" s="33" t="s">
        <v>1615</v>
      </c>
      <c r="T64" s="33" t="s">
        <v>1386</v>
      </c>
      <c r="U64" s="33" t="s">
        <v>1644</v>
      </c>
      <c r="V64" s="33" t="s">
        <v>51</v>
      </c>
      <c r="W64" s="33" t="s">
        <v>243</v>
      </c>
      <c r="X64" s="33" t="s">
        <v>242</v>
      </c>
      <c r="Y64" s="33" t="s">
        <v>1617</v>
      </c>
      <c r="Z64" s="33" t="s">
        <v>790</v>
      </c>
      <c r="AA64" s="33" t="s">
        <v>1619</v>
      </c>
    </row>
    <row r="65" spans="1:27" ht="84.9">
      <c r="A65" s="33" t="s">
        <v>244</v>
      </c>
      <c r="B65" s="33" t="s">
        <v>17</v>
      </c>
      <c r="C65" s="33" t="s">
        <v>163</v>
      </c>
      <c r="D65" s="33" t="s">
        <v>164</v>
      </c>
      <c r="E65" s="33" t="s">
        <v>165</v>
      </c>
      <c r="F65" s="33" t="s">
        <v>246</v>
      </c>
      <c r="G65" s="33" t="s">
        <v>245</v>
      </c>
      <c r="H65" s="33" t="s">
        <v>1645</v>
      </c>
      <c r="I65" s="33" t="s">
        <v>1383</v>
      </c>
      <c r="J65" s="33" t="s">
        <v>1383</v>
      </c>
      <c r="K65" s="33" t="s">
        <v>175</v>
      </c>
      <c r="L65" s="33">
        <v>1</v>
      </c>
      <c r="M65" s="33">
        <v>30</v>
      </c>
      <c r="N65" s="33">
        <f t="shared" si="2"/>
        <v>0.5</v>
      </c>
      <c r="O65" s="33">
        <v>30</v>
      </c>
      <c r="P65" s="33">
        <f t="shared" si="3"/>
        <v>15</v>
      </c>
      <c r="Q65" s="33" t="s">
        <v>1637</v>
      </c>
      <c r="R65" s="33" t="s">
        <v>1614</v>
      </c>
      <c r="S65" s="33" t="s">
        <v>1615</v>
      </c>
      <c r="T65" s="33" t="s">
        <v>1386</v>
      </c>
      <c r="U65" s="33" t="s">
        <v>1646</v>
      </c>
      <c r="V65" s="33" t="s">
        <v>51</v>
      </c>
      <c r="W65" s="33" t="s">
        <v>248</v>
      </c>
      <c r="X65" s="33" t="s">
        <v>247</v>
      </c>
      <c r="Y65" s="33" t="s">
        <v>1617</v>
      </c>
      <c r="Z65" s="33" t="s">
        <v>790</v>
      </c>
      <c r="AA65" s="33" t="s">
        <v>1619</v>
      </c>
    </row>
    <row r="66" spans="1:27" ht="84.9">
      <c r="A66" s="33" t="s">
        <v>249</v>
      </c>
      <c r="B66" s="33" t="s">
        <v>17</v>
      </c>
      <c r="C66" s="33" t="s">
        <v>163</v>
      </c>
      <c r="D66" s="33" t="s">
        <v>164</v>
      </c>
      <c r="E66" s="33" t="s">
        <v>28</v>
      </c>
      <c r="F66" s="33" t="s">
        <v>251</v>
      </c>
      <c r="G66" s="33" t="s">
        <v>250</v>
      </c>
      <c r="H66" s="33" t="s">
        <v>1647</v>
      </c>
      <c r="I66" s="33" t="s">
        <v>1383</v>
      </c>
      <c r="J66" s="33" t="s">
        <v>1383</v>
      </c>
      <c r="K66" s="33" t="s">
        <v>175</v>
      </c>
      <c r="L66" s="33">
        <v>1</v>
      </c>
      <c r="M66" s="33">
        <v>30</v>
      </c>
      <c r="N66" s="33">
        <f t="shared" si="2"/>
        <v>0.5</v>
      </c>
      <c r="O66" s="33">
        <v>30</v>
      </c>
      <c r="P66" s="33">
        <f t="shared" si="3"/>
        <v>15</v>
      </c>
      <c r="Q66" s="33" t="s">
        <v>1637</v>
      </c>
      <c r="R66" s="33" t="s">
        <v>1614</v>
      </c>
      <c r="S66" s="33" t="s">
        <v>1615</v>
      </c>
      <c r="T66" s="33" t="s">
        <v>1386</v>
      </c>
      <c r="U66" s="33" t="s">
        <v>1648</v>
      </c>
      <c r="V66" s="33" t="s">
        <v>252</v>
      </c>
      <c r="W66" s="33" t="s">
        <v>254</v>
      </c>
      <c r="X66" s="33" t="s">
        <v>253</v>
      </c>
      <c r="Y66" s="33" t="s">
        <v>1617</v>
      </c>
      <c r="Z66" s="33" t="s">
        <v>790</v>
      </c>
      <c r="AA66" s="33" t="s">
        <v>1619</v>
      </c>
    </row>
    <row r="67" spans="1:27" ht="84.9">
      <c r="A67" s="33" t="s">
        <v>255</v>
      </c>
      <c r="B67" s="33" t="s">
        <v>17</v>
      </c>
      <c r="C67" s="33" t="s">
        <v>47</v>
      </c>
      <c r="D67" s="33" t="s">
        <v>48</v>
      </c>
      <c r="E67" s="33" t="s">
        <v>172</v>
      </c>
      <c r="F67" s="33" t="s">
        <v>257</v>
      </c>
      <c r="G67" s="33" t="s">
        <v>256</v>
      </c>
      <c r="H67" s="33" t="s">
        <v>1649</v>
      </c>
      <c r="I67" s="33" t="s">
        <v>1383</v>
      </c>
      <c r="J67" s="33" t="s">
        <v>1383</v>
      </c>
      <c r="K67" s="33" t="s">
        <v>175</v>
      </c>
      <c r="L67" s="33">
        <v>1</v>
      </c>
      <c r="M67" s="33">
        <v>15</v>
      </c>
      <c r="N67" s="33">
        <f t="shared" si="2"/>
        <v>0.25</v>
      </c>
      <c r="O67" s="33">
        <v>30</v>
      </c>
      <c r="P67" s="33">
        <f t="shared" si="3"/>
        <v>7.5</v>
      </c>
      <c r="Q67" s="33" t="s">
        <v>1637</v>
      </c>
      <c r="R67" s="33" t="s">
        <v>1614</v>
      </c>
      <c r="S67" s="33" t="s">
        <v>1615</v>
      </c>
      <c r="T67" s="33" t="s">
        <v>1386</v>
      </c>
      <c r="U67" s="33" t="s">
        <v>1650</v>
      </c>
      <c r="V67" s="33" t="s">
        <v>31</v>
      </c>
      <c r="W67" s="33" t="s">
        <v>254</v>
      </c>
      <c r="X67" s="33" t="s">
        <v>258</v>
      </c>
      <c r="Y67" s="33" t="s">
        <v>1617</v>
      </c>
      <c r="Z67" s="33" t="s">
        <v>790</v>
      </c>
      <c r="AA67" s="33" t="s">
        <v>1619</v>
      </c>
    </row>
    <row r="68" spans="1:27" ht="99">
      <c r="A68" s="33" t="s">
        <v>259</v>
      </c>
      <c r="B68" s="33" t="s">
        <v>17</v>
      </c>
      <c r="C68" s="33" t="s">
        <v>260</v>
      </c>
      <c r="D68" s="33" t="s">
        <v>261</v>
      </c>
      <c r="E68" s="33" t="s">
        <v>20</v>
      </c>
      <c r="F68" s="33" t="s">
        <v>263</v>
      </c>
      <c r="G68" s="33" t="s">
        <v>262</v>
      </c>
      <c r="H68" s="33" t="s">
        <v>1651</v>
      </c>
      <c r="I68" s="33" t="s">
        <v>1383</v>
      </c>
      <c r="J68" s="33" t="s">
        <v>1383</v>
      </c>
      <c r="K68" s="33" t="s">
        <v>23</v>
      </c>
      <c r="L68" s="33">
        <v>1</v>
      </c>
      <c r="M68" s="33">
        <v>60</v>
      </c>
      <c r="N68" s="33">
        <f t="shared" si="2"/>
        <v>1</v>
      </c>
      <c r="O68" s="33">
        <v>30</v>
      </c>
      <c r="P68" s="33">
        <f t="shared" si="3"/>
        <v>30</v>
      </c>
      <c r="Q68" s="33" t="s">
        <v>1637</v>
      </c>
      <c r="R68" s="33" t="s">
        <v>1614</v>
      </c>
      <c r="S68" s="33" t="s">
        <v>1615</v>
      </c>
      <c r="T68" s="33" t="s">
        <v>1386</v>
      </c>
      <c r="U68" s="33" t="s">
        <v>1652</v>
      </c>
      <c r="V68" s="33" t="s">
        <v>264</v>
      </c>
      <c r="W68" s="33" t="s">
        <v>266</v>
      </c>
      <c r="X68" s="33" t="s">
        <v>265</v>
      </c>
      <c r="Y68" s="33" t="s">
        <v>1617</v>
      </c>
      <c r="Z68" s="33" t="s">
        <v>790</v>
      </c>
      <c r="AA68" s="33" t="s">
        <v>1619</v>
      </c>
    </row>
  </sheetData>
  <dataValidations count="2">
    <dataValidation type="list" sqref="I2:I53" xr:uid="{00000000-0002-0000-0700-000000000000}">
      <formula1>"Ja,Nein,noch zu klären"</formula1>
    </dataValidation>
    <dataValidation type="list" sqref="J2:J53" xr:uid="{00000000-0002-0000-0700-000001000000}">
      <formula1>"Ja,Nein"</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66"/>
  <sheetViews>
    <sheetView showGridLines="0" tabSelected="1" workbookViewId="0">
      <selection activeCell="D3" sqref="D3"/>
    </sheetView>
  </sheetViews>
  <sheetFormatPr baseColWidth="10" defaultColWidth="9.140625" defaultRowHeight="14.15"/>
  <cols>
    <col min="1" max="1" width="12" style="30" customWidth="1"/>
    <col min="2" max="2" width="10" style="30" customWidth="1"/>
    <col min="3" max="3" width="27" style="30" customWidth="1"/>
    <col min="4" max="4" width="31" style="30" customWidth="1"/>
    <col min="5" max="5" width="25" style="30" customWidth="1"/>
    <col min="6" max="6" width="34" style="30" customWidth="1"/>
    <col min="7" max="7" width="36" style="30" customWidth="1"/>
    <col min="8" max="8" width="34" style="30" customWidth="1"/>
    <col min="9" max="9" width="18" style="30" customWidth="1"/>
    <col min="10" max="10" width="16" style="30" customWidth="1"/>
    <col min="11" max="11" width="14" style="30" customWidth="1"/>
    <col min="12" max="12" width="12" style="30" customWidth="1"/>
    <col min="13" max="15" width="15" style="30" customWidth="1"/>
    <col min="16" max="16" width="17" style="30" customWidth="1"/>
    <col min="17" max="17" width="28" style="30" customWidth="1"/>
    <col min="18" max="18" width="25" style="30" customWidth="1"/>
    <col min="19" max="19" width="32" style="30" customWidth="1"/>
    <col min="20" max="20" width="24" style="30" customWidth="1"/>
    <col min="21" max="21" width="38" style="30" customWidth="1"/>
    <col min="22" max="22" width="30" style="30" customWidth="1"/>
    <col min="23" max="23" width="28" style="30" customWidth="1"/>
    <col min="24" max="24" width="34" style="30" customWidth="1"/>
    <col min="25" max="25" width="42" style="30" customWidth="1"/>
    <col min="26" max="26" width="22" style="30" customWidth="1"/>
    <col min="27" max="27" width="38" style="30" customWidth="1"/>
    <col min="28" max="16384" width="9.140625" style="30"/>
  </cols>
  <sheetData>
    <row r="1" spans="1:27" ht="48" customHeight="1">
      <c r="A1" s="48" t="s">
        <v>0</v>
      </c>
      <c r="B1" s="48" t="s">
        <v>1</v>
      </c>
      <c r="C1" s="48" t="s">
        <v>2</v>
      </c>
      <c r="D1" s="48" t="s">
        <v>3</v>
      </c>
      <c r="E1" s="48" t="s">
        <v>4</v>
      </c>
      <c r="F1" s="48" t="s">
        <v>6</v>
      </c>
      <c r="G1" s="48" t="s">
        <v>5</v>
      </c>
      <c r="H1" s="48" t="s">
        <v>1372</v>
      </c>
      <c r="I1" s="48" t="s">
        <v>1373</v>
      </c>
      <c r="J1" s="48" t="s">
        <v>1374</v>
      </c>
      <c r="K1" s="48" t="s">
        <v>7</v>
      </c>
      <c r="L1" s="48" t="s">
        <v>8</v>
      </c>
      <c r="M1" s="48" t="s">
        <v>9</v>
      </c>
      <c r="N1" s="48" t="s">
        <v>10</v>
      </c>
      <c r="O1" s="48" t="s">
        <v>11</v>
      </c>
      <c r="P1" s="48" t="s">
        <v>12</v>
      </c>
      <c r="Q1" s="48" t="s">
        <v>464</v>
      </c>
      <c r="R1" s="48" t="s">
        <v>1375</v>
      </c>
      <c r="S1" s="48" t="s">
        <v>1376</v>
      </c>
      <c r="T1" s="48" t="s">
        <v>1377</v>
      </c>
      <c r="U1" s="48" t="s">
        <v>1378</v>
      </c>
      <c r="V1" s="48" t="s">
        <v>13</v>
      </c>
      <c r="W1" s="48" t="s">
        <v>15</v>
      </c>
      <c r="X1" s="48" t="s">
        <v>14</v>
      </c>
      <c r="Y1" s="48" t="s">
        <v>1379</v>
      </c>
      <c r="Z1" s="48" t="s">
        <v>1380</v>
      </c>
      <c r="AA1" s="48" t="s">
        <v>1381</v>
      </c>
    </row>
    <row r="2" spans="1:27" ht="76" customHeight="1">
      <c r="A2" s="49" t="s">
        <v>267</v>
      </c>
      <c r="B2" s="49" t="s">
        <v>268</v>
      </c>
      <c r="C2" s="49" t="s">
        <v>18</v>
      </c>
      <c r="D2" s="49" t="s">
        <v>19</v>
      </c>
      <c r="E2" s="49" t="s">
        <v>20</v>
      </c>
      <c r="F2" s="49" t="s">
        <v>270</v>
      </c>
      <c r="G2" s="49" t="s">
        <v>269</v>
      </c>
      <c r="H2" s="49" t="s">
        <v>1653</v>
      </c>
      <c r="I2" s="49" t="s">
        <v>1383</v>
      </c>
      <c r="J2" s="49" t="s">
        <v>1383</v>
      </c>
      <c r="K2" s="49" t="s">
        <v>23</v>
      </c>
      <c r="L2" s="50">
        <v>1</v>
      </c>
      <c r="M2" s="51">
        <v>15</v>
      </c>
      <c r="N2" s="52">
        <f t="shared" ref="N2:N47" si="0">IF(OR(L2="",M2=""),"",L2*M2/60)</f>
        <v>0.25</v>
      </c>
      <c r="O2" s="53">
        <v>50</v>
      </c>
      <c r="P2" s="54">
        <f t="shared" ref="P2:P47" si="1">IF(OR(N2="",O2=""),"",N2*O2)</f>
        <v>12.5</v>
      </c>
      <c r="Q2" s="55" t="s">
        <v>1384</v>
      </c>
      <c r="R2" s="55" t="s">
        <v>466</v>
      </c>
      <c r="S2" s="55" t="s">
        <v>1385</v>
      </c>
      <c r="T2" s="55" t="s">
        <v>1386</v>
      </c>
      <c r="U2" s="55" t="s">
        <v>1654</v>
      </c>
      <c r="V2" s="55" t="s">
        <v>271</v>
      </c>
      <c r="W2" s="55" t="s">
        <v>273</v>
      </c>
      <c r="X2" s="55" t="s">
        <v>272</v>
      </c>
      <c r="Y2" s="55" t="s">
        <v>1655</v>
      </c>
      <c r="Z2" s="49" t="s">
        <v>1656</v>
      </c>
      <c r="AA2" s="49" t="s">
        <v>1390</v>
      </c>
    </row>
    <row r="3" spans="1:27" ht="76" customHeight="1">
      <c r="A3" s="49" t="s">
        <v>274</v>
      </c>
      <c r="B3" s="49" t="s">
        <v>268</v>
      </c>
      <c r="C3" s="49" t="s">
        <v>18</v>
      </c>
      <c r="D3" s="49" t="s">
        <v>19</v>
      </c>
      <c r="E3" s="49" t="s">
        <v>28</v>
      </c>
      <c r="F3" s="49" t="s">
        <v>42</v>
      </c>
      <c r="G3" s="49" t="s">
        <v>41</v>
      </c>
      <c r="H3" s="49" t="s">
        <v>1653</v>
      </c>
      <c r="I3" s="49" t="s">
        <v>1383</v>
      </c>
      <c r="J3" s="49" t="s">
        <v>1383</v>
      </c>
      <c r="K3" s="49" t="s">
        <v>23</v>
      </c>
      <c r="L3" s="50">
        <v>1</v>
      </c>
      <c r="M3" s="51">
        <v>15</v>
      </c>
      <c r="N3" s="52">
        <f t="shared" si="0"/>
        <v>0.25</v>
      </c>
      <c r="O3" s="53">
        <v>50</v>
      </c>
      <c r="P3" s="54">
        <f t="shared" si="1"/>
        <v>12.5</v>
      </c>
      <c r="Q3" s="55" t="s">
        <v>1384</v>
      </c>
      <c r="R3" s="55" t="s">
        <v>466</v>
      </c>
      <c r="S3" s="55" t="s">
        <v>1385</v>
      </c>
      <c r="T3" s="55" t="s">
        <v>1386</v>
      </c>
      <c r="U3" s="55" t="s">
        <v>1398</v>
      </c>
      <c r="V3" s="55" t="s">
        <v>275</v>
      </c>
      <c r="W3" s="55" t="s">
        <v>277</v>
      </c>
      <c r="X3" s="55" t="s">
        <v>276</v>
      </c>
      <c r="Y3" s="55" t="s">
        <v>1399</v>
      </c>
      <c r="Z3" s="49" t="s">
        <v>1400</v>
      </c>
      <c r="AA3" s="49" t="s">
        <v>1390</v>
      </c>
    </row>
    <row r="4" spans="1:27" ht="52" customHeight="1">
      <c r="A4" s="49" t="s">
        <v>1657</v>
      </c>
      <c r="B4" s="49" t="s">
        <v>268</v>
      </c>
      <c r="C4" s="49" t="s">
        <v>18</v>
      </c>
      <c r="D4" s="49" t="s">
        <v>19</v>
      </c>
      <c r="E4" s="49" t="s">
        <v>216</v>
      </c>
      <c r="F4" s="49" t="s">
        <v>1402</v>
      </c>
      <c r="G4" s="49" t="s">
        <v>1403</v>
      </c>
      <c r="H4" s="49" t="s">
        <v>1404</v>
      </c>
      <c r="I4" s="49" t="s">
        <v>1405</v>
      </c>
      <c r="J4" s="56" t="s">
        <v>1405</v>
      </c>
      <c r="K4" s="49" t="s">
        <v>159</v>
      </c>
      <c r="L4" s="50">
        <v>1</v>
      </c>
      <c r="M4" s="51">
        <v>30</v>
      </c>
      <c r="N4" s="52">
        <f t="shared" si="0"/>
        <v>0.5</v>
      </c>
      <c r="O4" s="53">
        <v>25</v>
      </c>
      <c r="P4" s="54">
        <f t="shared" si="1"/>
        <v>12.5</v>
      </c>
      <c r="Q4" s="49" t="s">
        <v>1406</v>
      </c>
      <c r="R4" s="49" t="s">
        <v>466</v>
      </c>
      <c r="S4" s="49" t="s">
        <v>1385</v>
      </c>
      <c r="T4" s="49" t="s">
        <v>1386</v>
      </c>
      <c r="U4" s="49" t="s">
        <v>1407</v>
      </c>
      <c r="V4" s="49" t="s">
        <v>275</v>
      </c>
      <c r="W4" s="49" t="s">
        <v>1658</v>
      </c>
      <c r="X4" s="49" t="s">
        <v>1659</v>
      </c>
      <c r="Y4" s="49"/>
      <c r="Z4" s="49" t="s">
        <v>1411</v>
      </c>
      <c r="AA4" s="49" t="s">
        <v>1390</v>
      </c>
    </row>
    <row r="5" spans="1:27" ht="52" customHeight="1">
      <c r="A5" s="49" t="s">
        <v>1660</v>
      </c>
      <c r="B5" s="49" t="s">
        <v>268</v>
      </c>
      <c r="C5" s="49" t="s">
        <v>18</v>
      </c>
      <c r="D5" s="49" t="s">
        <v>1413</v>
      </c>
      <c r="E5" s="49" t="s">
        <v>216</v>
      </c>
      <c r="F5" s="49" t="s">
        <v>1414</v>
      </c>
      <c r="G5" s="49" t="s">
        <v>1415</v>
      </c>
      <c r="H5" s="49" t="s">
        <v>1404</v>
      </c>
      <c r="I5" s="49" t="s">
        <v>1405</v>
      </c>
      <c r="J5" s="56" t="s">
        <v>1405</v>
      </c>
      <c r="K5" s="49" t="s">
        <v>159</v>
      </c>
      <c r="L5" s="50">
        <v>4</v>
      </c>
      <c r="M5" s="51">
        <v>60</v>
      </c>
      <c r="N5" s="52">
        <f t="shared" si="0"/>
        <v>4</v>
      </c>
      <c r="O5" s="53">
        <v>50</v>
      </c>
      <c r="P5" s="54">
        <f t="shared" si="1"/>
        <v>200</v>
      </c>
      <c r="Q5" s="49" t="s">
        <v>1406</v>
      </c>
      <c r="R5" s="49" t="s">
        <v>466</v>
      </c>
      <c r="S5" s="49" t="s">
        <v>1385</v>
      </c>
      <c r="T5" s="49" t="s">
        <v>1386</v>
      </c>
      <c r="U5" s="49" t="s">
        <v>1416</v>
      </c>
      <c r="V5" s="49" t="s">
        <v>1661</v>
      </c>
      <c r="W5" s="49" t="s">
        <v>1662</v>
      </c>
      <c r="X5" s="49" t="s">
        <v>1663</v>
      </c>
      <c r="Y5" s="49"/>
      <c r="Z5" s="49" t="s">
        <v>1419</v>
      </c>
      <c r="AA5" s="49" t="s">
        <v>1390</v>
      </c>
    </row>
    <row r="6" spans="1:27" ht="52" customHeight="1">
      <c r="A6" s="49" t="s">
        <v>1664</v>
      </c>
      <c r="B6" s="49" t="s">
        <v>268</v>
      </c>
      <c r="C6" s="49" t="s">
        <v>18</v>
      </c>
      <c r="D6" s="49" t="s">
        <v>19</v>
      </c>
      <c r="E6" s="49" t="s">
        <v>216</v>
      </c>
      <c r="F6" s="49" t="s">
        <v>1421</v>
      </c>
      <c r="G6" s="49" t="s">
        <v>1422</v>
      </c>
      <c r="H6" s="49" t="s">
        <v>1404</v>
      </c>
      <c r="I6" s="49" t="s">
        <v>1405</v>
      </c>
      <c r="J6" s="56" t="s">
        <v>1405</v>
      </c>
      <c r="K6" s="49" t="s">
        <v>23</v>
      </c>
      <c r="L6" s="50">
        <v>1</v>
      </c>
      <c r="M6" s="51">
        <v>60</v>
      </c>
      <c r="N6" s="52">
        <f t="shared" si="0"/>
        <v>1</v>
      </c>
      <c r="O6" s="53">
        <v>25</v>
      </c>
      <c r="P6" s="54">
        <f t="shared" si="1"/>
        <v>25</v>
      </c>
      <c r="Q6" s="49" t="s">
        <v>1406</v>
      </c>
      <c r="R6" s="49" t="s">
        <v>466</v>
      </c>
      <c r="S6" s="49" t="s">
        <v>1385</v>
      </c>
      <c r="T6" s="49" t="s">
        <v>1386</v>
      </c>
      <c r="U6" s="49" t="s">
        <v>1423</v>
      </c>
      <c r="V6" s="49" t="s">
        <v>275</v>
      </c>
      <c r="W6" s="49" t="s">
        <v>1658</v>
      </c>
      <c r="X6" s="49" t="s">
        <v>1665</v>
      </c>
      <c r="Y6" s="49"/>
      <c r="Z6" s="49" t="s">
        <v>1426</v>
      </c>
      <c r="AA6" s="49" t="s">
        <v>1390</v>
      </c>
    </row>
    <row r="7" spans="1:27" ht="52" customHeight="1">
      <c r="A7" s="49" t="s">
        <v>1666</v>
      </c>
      <c r="B7" s="49" t="s">
        <v>268</v>
      </c>
      <c r="C7" s="49" t="s">
        <v>18</v>
      </c>
      <c r="D7" s="49" t="s">
        <v>19</v>
      </c>
      <c r="E7" s="49" t="s">
        <v>216</v>
      </c>
      <c r="F7" s="49" t="s">
        <v>1428</v>
      </c>
      <c r="G7" s="49" t="s">
        <v>1429</v>
      </c>
      <c r="H7" s="49" t="s">
        <v>1404</v>
      </c>
      <c r="I7" s="49" t="s">
        <v>1405</v>
      </c>
      <c r="J7" s="56" t="s">
        <v>1405</v>
      </c>
      <c r="K7" s="49" t="s">
        <v>23</v>
      </c>
      <c r="L7" s="50">
        <v>1</v>
      </c>
      <c r="M7" s="51">
        <v>180</v>
      </c>
      <c r="N7" s="52">
        <f t="shared" si="0"/>
        <v>3</v>
      </c>
      <c r="O7" s="53">
        <v>50</v>
      </c>
      <c r="P7" s="54">
        <f t="shared" si="1"/>
        <v>150</v>
      </c>
      <c r="Q7" s="49" t="s">
        <v>1406</v>
      </c>
      <c r="R7" s="49" t="s">
        <v>466</v>
      </c>
      <c r="S7" s="49" t="s">
        <v>1385</v>
      </c>
      <c r="T7" s="49" t="s">
        <v>1386</v>
      </c>
      <c r="U7" s="49" t="s">
        <v>1430</v>
      </c>
      <c r="V7" s="49" t="s">
        <v>283</v>
      </c>
      <c r="W7" s="49" t="s">
        <v>1431</v>
      </c>
      <c r="X7" s="49" t="s">
        <v>1667</v>
      </c>
      <c r="Y7" s="49"/>
      <c r="Z7" s="49" t="s">
        <v>1433</v>
      </c>
      <c r="AA7" s="49" t="s">
        <v>1390</v>
      </c>
    </row>
    <row r="8" spans="1:27" ht="52" customHeight="1">
      <c r="A8" s="49" t="s">
        <v>1668</v>
      </c>
      <c r="B8" s="49" t="s">
        <v>268</v>
      </c>
      <c r="C8" s="49" t="s">
        <v>18</v>
      </c>
      <c r="D8" s="49" t="s">
        <v>19</v>
      </c>
      <c r="E8" s="49" t="s">
        <v>216</v>
      </c>
      <c r="F8" s="49" t="s">
        <v>1669</v>
      </c>
      <c r="G8" s="49" t="s">
        <v>1670</v>
      </c>
      <c r="H8" s="49" t="s">
        <v>1671</v>
      </c>
      <c r="I8" s="49" t="s">
        <v>1405</v>
      </c>
      <c r="J8" s="49" t="s">
        <v>1405</v>
      </c>
      <c r="K8" s="49" t="s">
        <v>23</v>
      </c>
      <c r="L8" s="50">
        <v>1</v>
      </c>
      <c r="M8" s="51">
        <v>60</v>
      </c>
      <c r="N8" s="52">
        <f t="shared" si="0"/>
        <v>1</v>
      </c>
      <c r="O8" s="53">
        <v>25</v>
      </c>
      <c r="P8" s="54">
        <f t="shared" si="1"/>
        <v>25</v>
      </c>
      <c r="Q8" s="49" t="s">
        <v>1672</v>
      </c>
      <c r="R8" s="49" t="s">
        <v>1673</v>
      </c>
      <c r="S8" s="49" t="s">
        <v>1674</v>
      </c>
      <c r="T8" s="49" t="s">
        <v>1386</v>
      </c>
      <c r="U8" s="49" t="s">
        <v>1675</v>
      </c>
      <c r="V8" s="49" t="s">
        <v>1676</v>
      </c>
      <c r="W8" s="49" t="s">
        <v>1677</v>
      </c>
      <c r="X8" s="49" t="s">
        <v>1678</v>
      </c>
      <c r="Y8" s="49" t="s">
        <v>1679</v>
      </c>
      <c r="Z8" s="49" t="s">
        <v>1389</v>
      </c>
      <c r="AA8" s="49" t="s">
        <v>1390</v>
      </c>
    </row>
    <row r="9" spans="1:27" ht="52" customHeight="1">
      <c r="A9" s="49" t="s">
        <v>1680</v>
      </c>
      <c r="B9" s="49" t="s">
        <v>268</v>
      </c>
      <c r="C9" s="49" t="s">
        <v>18</v>
      </c>
      <c r="D9" s="49" t="s">
        <v>19</v>
      </c>
      <c r="E9" s="49" t="s">
        <v>172</v>
      </c>
      <c r="F9" s="49" t="s">
        <v>1463</v>
      </c>
      <c r="G9" s="49" t="s">
        <v>1464</v>
      </c>
      <c r="H9" s="49" t="s">
        <v>1404</v>
      </c>
      <c r="I9" s="49" t="s">
        <v>1405</v>
      </c>
      <c r="J9" s="56" t="s">
        <v>1405</v>
      </c>
      <c r="K9" s="49" t="s">
        <v>159</v>
      </c>
      <c r="L9" s="50">
        <v>1</v>
      </c>
      <c r="M9" s="51">
        <v>30</v>
      </c>
      <c r="N9" s="52">
        <f t="shared" si="0"/>
        <v>0.5</v>
      </c>
      <c r="O9" s="53">
        <v>50</v>
      </c>
      <c r="P9" s="54">
        <f t="shared" si="1"/>
        <v>25</v>
      </c>
      <c r="Q9" s="49" t="s">
        <v>1406</v>
      </c>
      <c r="R9" s="49" t="s">
        <v>466</v>
      </c>
      <c r="S9" s="49" t="s">
        <v>1385</v>
      </c>
      <c r="T9" s="49" t="s">
        <v>1386</v>
      </c>
      <c r="U9" s="49" t="s">
        <v>1465</v>
      </c>
      <c r="V9" s="49" t="s">
        <v>1676</v>
      </c>
      <c r="W9" s="49" t="s">
        <v>1681</v>
      </c>
      <c r="X9" s="49" t="s">
        <v>1682</v>
      </c>
      <c r="Y9" s="49"/>
      <c r="Z9" s="49" t="s">
        <v>1467</v>
      </c>
      <c r="AA9" s="49" t="s">
        <v>1390</v>
      </c>
    </row>
    <row r="10" spans="1:27" ht="52" customHeight="1">
      <c r="A10" s="49" t="s">
        <v>1683</v>
      </c>
      <c r="B10" s="49" t="s">
        <v>268</v>
      </c>
      <c r="C10" s="49" t="s">
        <v>18</v>
      </c>
      <c r="D10" s="49" t="s">
        <v>19</v>
      </c>
      <c r="E10" s="49" t="s">
        <v>172</v>
      </c>
      <c r="F10" s="49" t="s">
        <v>1469</v>
      </c>
      <c r="G10" s="49" t="s">
        <v>1470</v>
      </c>
      <c r="H10" s="49" t="s">
        <v>1404</v>
      </c>
      <c r="I10" s="49" t="s">
        <v>1405</v>
      </c>
      <c r="J10" s="56" t="s">
        <v>1405</v>
      </c>
      <c r="K10" s="49" t="s">
        <v>159</v>
      </c>
      <c r="L10" s="50">
        <v>12</v>
      </c>
      <c r="M10" s="51">
        <v>60</v>
      </c>
      <c r="N10" s="52">
        <f t="shared" si="0"/>
        <v>12</v>
      </c>
      <c r="O10" s="53">
        <v>50</v>
      </c>
      <c r="P10" s="54">
        <f t="shared" si="1"/>
        <v>600</v>
      </c>
      <c r="Q10" s="49" t="s">
        <v>1406</v>
      </c>
      <c r="R10" s="49" t="s">
        <v>466</v>
      </c>
      <c r="S10" s="49" t="s">
        <v>1385</v>
      </c>
      <c r="T10" s="49" t="s">
        <v>1386</v>
      </c>
      <c r="U10" s="49" t="s">
        <v>1471</v>
      </c>
      <c r="V10" s="49" t="s">
        <v>283</v>
      </c>
      <c r="W10" s="49" t="s">
        <v>128</v>
      </c>
      <c r="X10" s="49" t="s">
        <v>1684</v>
      </c>
      <c r="Y10" s="49"/>
      <c r="Z10" s="49" t="s">
        <v>1472</v>
      </c>
      <c r="AA10" s="49" t="s">
        <v>1390</v>
      </c>
    </row>
    <row r="11" spans="1:27" ht="52" customHeight="1">
      <c r="A11" s="49" t="s">
        <v>1685</v>
      </c>
      <c r="B11" s="49" t="s">
        <v>268</v>
      </c>
      <c r="C11" s="49" t="s">
        <v>18</v>
      </c>
      <c r="D11" s="49" t="s">
        <v>19</v>
      </c>
      <c r="E11" s="49" t="s">
        <v>172</v>
      </c>
      <c r="F11" s="49" t="s">
        <v>1474</v>
      </c>
      <c r="G11" s="49" t="s">
        <v>1475</v>
      </c>
      <c r="H11" s="49" t="s">
        <v>1404</v>
      </c>
      <c r="I11" s="49" t="s">
        <v>1405</v>
      </c>
      <c r="J11" s="56" t="s">
        <v>1405</v>
      </c>
      <c r="K11" s="49" t="s">
        <v>159</v>
      </c>
      <c r="L11" s="50">
        <v>12</v>
      </c>
      <c r="M11" s="51">
        <v>60</v>
      </c>
      <c r="N11" s="52">
        <f t="shared" si="0"/>
        <v>12</v>
      </c>
      <c r="O11" s="53">
        <v>50</v>
      </c>
      <c r="P11" s="54">
        <f t="shared" si="1"/>
        <v>600</v>
      </c>
      <c r="Q11" s="49" t="s">
        <v>1406</v>
      </c>
      <c r="R11" s="49" t="s">
        <v>466</v>
      </c>
      <c r="S11" s="49" t="s">
        <v>1385</v>
      </c>
      <c r="T11" s="49" t="s">
        <v>1386</v>
      </c>
      <c r="U11" s="49" t="s">
        <v>1476</v>
      </c>
      <c r="V11" s="49" t="s">
        <v>283</v>
      </c>
      <c r="W11" s="49" t="s">
        <v>1686</v>
      </c>
      <c r="X11" s="49" t="s">
        <v>1687</v>
      </c>
      <c r="Y11" s="49"/>
      <c r="Z11" s="49" t="s">
        <v>1479</v>
      </c>
      <c r="AA11" s="49" t="s">
        <v>1390</v>
      </c>
    </row>
    <row r="12" spans="1:27" ht="76" customHeight="1">
      <c r="A12" s="49" t="s">
        <v>1688</v>
      </c>
      <c r="B12" s="49" t="s">
        <v>268</v>
      </c>
      <c r="C12" s="49" t="s">
        <v>18</v>
      </c>
      <c r="D12" s="49" t="s">
        <v>19</v>
      </c>
      <c r="E12" s="49" t="s">
        <v>172</v>
      </c>
      <c r="F12" s="49" t="s">
        <v>1481</v>
      </c>
      <c r="G12" s="49" t="s">
        <v>1482</v>
      </c>
      <c r="H12" s="49" t="s">
        <v>1483</v>
      </c>
      <c r="I12" s="49" t="s">
        <v>1405</v>
      </c>
      <c r="J12" s="56" t="s">
        <v>1405</v>
      </c>
      <c r="K12" s="49" t="s">
        <v>159</v>
      </c>
      <c r="L12" s="50">
        <v>12</v>
      </c>
      <c r="M12" s="51">
        <v>120</v>
      </c>
      <c r="N12" s="52">
        <f t="shared" si="0"/>
        <v>24</v>
      </c>
      <c r="O12" s="53">
        <v>50</v>
      </c>
      <c r="P12" s="54">
        <f t="shared" si="1"/>
        <v>1200</v>
      </c>
      <c r="Q12" s="49" t="s">
        <v>1406</v>
      </c>
      <c r="R12" s="49" t="s">
        <v>466</v>
      </c>
      <c r="S12" s="49" t="s">
        <v>1385</v>
      </c>
      <c r="T12" s="49" t="s">
        <v>1386</v>
      </c>
      <c r="U12" s="49" t="s">
        <v>1484</v>
      </c>
      <c r="V12" s="49" t="s">
        <v>557</v>
      </c>
      <c r="W12" s="49" t="s">
        <v>1485</v>
      </c>
      <c r="X12" s="49" t="s">
        <v>818</v>
      </c>
      <c r="Y12" s="49" t="s">
        <v>1486</v>
      </c>
      <c r="Z12" s="49" t="s">
        <v>1487</v>
      </c>
      <c r="AA12" s="49" t="s">
        <v>1390</v>
      </c>
    </row>
    <row r="13" spans="1:27" ht="52" customHeight="1">
      <c r="A13" s="49" t="s">
        <v>1689</v>
      </c>
      <c r="B13" s="49" t="s">
        <v>268</v>
      </c>
      <c r="C13" s="49" t="s">
        <v>47</v>
      </c>
      <c r="D13" s="49" t="s">
        <v>1690</v>
      </c>
      <c r="E13" s="49" t="s">
        <v>172</v>
      </c>
      <c r="F13" s="49" t="s">
        <v>1490</v>
      </c>
      <c r="G13" s="49" t="s">
        <v>1491</v>
      </c>
      <c r="H13" s="49" t="s">
        <v>1404</v>
      </c>
      <c r="I13" s="49" t="s">
        <v>1405</v>
      </c>
      <c r="J13" s="56" t="s">
        <v>1405</v>
      </c>
      <c r="K13" s="49" t="s">
        <v>159</v>
      </c>
      <c r="L13" s="50">
        <v>6</v>
      </c>
      <c r="M13" s="51">
        <v>60</v>
      </c>
      <c r="N13" s="52">
        <f t="shared" si="0"/>
        <v>6</v>
      </c>
      <c r="O13" s="53">
        <v>50</v>
      </c>
      <c r="P13" s="54">
        <f t="shared" si="1"/>
        <v>300</v>
      </c>
      <c r="Q13" s="49" t="s">
        <v>1406</v>
      </c>
      <c r="R13" s="49" t="s">
        <v>466</v>
      </c>
      <c r="S13" s="49" t="s">
        <v>1385</v>
      </c>
      <c r="T13" s="49" t="s">
        <v>1386</v>
      </c>
      <c r="U13" s="49" t="s">
        <v>1492</v>
      </c>
      <c r="V13" s="49" t="s">
        <v>1661</v>
      </c>
      <c r="W13" s="49" t="s">
        <v>1691</v>
      </c>
      <c r="X13" s="49" t="s">
        <v>1692</v>
      </c>
      <c r="Y13" s="49"/>
      <c r="Z13" s="49" t="s">
        <v>1493</v>
      </c>
      <c r="AA13" s="49" t="s">
        <v>1390</v>
      </c>
    </row>
    <row r="14" spans="1:27" ht="76" customHeight="1">
      <c r="A14" s="49" t="s">
        <v>278</v>
      </c>
      <c r="B14" s="49" t="s">
        <v>268</v>
      </c>
      <c r="C14" s="49" t="s">
        <v>47</v>
      </c>
      <c r="D14" s="49" t="s">
        <v>48</v>
      </c>
      <c r="E14" s="49" t="s">
        <v>20</v>
      </c>
      <c r="F14" s="49" t="s">
        <v>50</v>
      </c>
      <c r="G14" s="49" t="s">
        <v>49</v>
      </c>
      <c r="H14" s="49" t="s">
        <v>1653</v>
      </c>
      <c r="I14" s="49" t="s">
        <v>1383</v>
      </c>
      <c r="J14" s="49" t="s">
        <v>1383</v>
      </c>
      <c r="K14" s="49" t="s">
        <v>23</v>
      </c>
      <c r="L14" s="50">
        <v>1</v>
      </c>
      <c r="M14" s="51">
        <v>15</v>
      </c>
      <c r="N14" s="52">
        <f t="shared" si="0"/>
        <v>0.25</v>
      </c>
      <c r="O14" s="53">
        <v>50</v>
      </c>
      <c r="P14" s="54">
        <f t="shared" si="1"/>
        <v>12.5</v>
      </c>
      <c r="Q14" s="49" t="s">
        <v>1693</v>
      </c>
      <c r="R14" s="49" t="s">
        <v>466</v>
      </c>
      <c r="S14" s="49" t="s">
        <v>1694</v>
      </c>
      <c r="T14" s="49" t="s">
        <v>1695</v>
      </c>
      <c r="U14" s="49" t="s">
        <v>1398</v>
      </c>
      <c r="V14" s="49" t="s">
        <v>279</v>
      </c>
      <c r="W14" s="49" t="s">
        <v>281</v>
      </c>
      <c r="X14" s="49" t="s">
        <v>280</v>
      </c>
      <c r="Y14" s="49" t="s">
        <v>1495</v>
      </c>
      <c r="Z14" s="49" t="s">
        <v>1496</v>
      </c>
      <c r="AA14" s="49" t="s">
        <v>1390</v>
      </c>
    </row>
    <row r="15" spans="1:27" ht="76" customHeight="1">
      <c r="A15" s="49" t="s">
        <v>282</v>
      </c>
      <c r="B15" s="49" t="s">
        <v>268</v>
      </c>
      <c r="C15" s="49" t="s">
        <v>47</v>
      </c>
      <c r="D15" s="49" t="s">
        <v>55</v>
      </c>
      <c r="E15" s="49" t="s">
        <v>20</v>
      </c>
      <c r="F15" s="49" t="s">
        <v>57</v>
      </c>
      <c r="G15" s="49" t="s">
        <v>56</v>
      </c>
      <c r="H15" s="49" t="s">
        <v>1653</v>
      </c>
      <c r="I15" s="49" t="s">
        <v>1383</v>
      </c>
      <c r="J15" s="49" t="s">
        <v>1383</v>
      </c>
      <c r="K15" s="49" t="s">
        <v>23</v>
      </c>
      <c r="L15" s="50">
        <v>1</v>
      </c>
      <c r="M15" s="51">
        <v>30</v>
      </c>
      <c r="N15" s="52">
        <f t="shared" si="0"/>
        <v>0.5</v>
      </c>
      <c r="O15" s="53">
        <v>50</v>
      </c>
      <c r="P15" s="54">
        <f t="shared" si="1"/>
        <v>25</v>
      </c>
      <c r="Q15" s="55" t="s">
        <v>1693</v>
      </c>
      <c r="R15" s="55" t="s">
        <v>466</v>
      </c>
      <c r="S15" s="55" t="s">
        <v>1694</v>
      </c>
      <c r="T15" s="55" t="s">
        <v>1695</v>
      </c>
      <c r="U15" s="55" t="s">
        <v>1398</v>
      </c>
      <c r="V15" s="55" t="s">
        <v>283</v>
      </c>
      <c r="W15" s="55" t="s">
        <v>285</v>
      </c>
      <c r="X15" s="55" t="s">
        <v>284</v>
      </c>
      <c r="Y15" s="55" t="s">
        <v>1497</v>
      </c>
      <c r="Z15" s="49" t="s">
        <v>1498</v>
      </c>
      <c r="AA15" s="49" t="s">
        <v>1390</v>
      </c>
    </row>
    <row r="16" spans="1:27" ht="76" customHeight="1">
      <c r="A16" s="49" t="s">
        <v>286</v>
      </c>
      <c r="B16" s="49" t="s">
        <v>268</v>
      </c>
      <c r="C16" s="49" t="s">
        <v>47</v>
      </c>
      <c r="D16" s="49" t="s">
        <v>55</v>
      </c>
      <c r="E16" s="49" t="s">
        <v>28</v>
      </c>
      <c r="F16" s="49" t="s">
        <v>62</v>
      </c>
      <c r="G16" s="49" t="s">
        <v>61</v>
      </c>
      <c r="H16" s="49" t="s">
        <v>1653</v>
      </c>
      <c r="I16" s="49" t="s">
        <v>1383</v>
      </c>
      <c r="J16" s="49" t="s">
        <v>1383</v>
      </c>
      <c r="K16" s="49" t="s">
        <v>23</v>
      </c>
      <c r="L16" s="50">
        <v>1</v>
      </c>
      <c r="M16" s="51">
        <v>7.5</v>
      </c>
      <c r="N16" s="52">
        <f t="shared" si="0"/>
        <v>0.125</v>
      </c>
      <c r="O16" s="53">
        <v>50</v>
      </c>
      <c r="P16" s="54">
        <f t="shared" si="1"/>
        <v>6.25</v>
      </c>
      <c r="Q16" s="49" t="s">
        <v>1693</v>
      </c>
      <c r="R16" s="49" t="s">
        <v>466</v>
      </c>
      <c r="S16" s="49" t="s">
        <v>1694</v>
      </c>
      <c r="T16" s="49" t="s">
        <v>1695</v>
      </c>
      <c r="U16" s="49" t="s">
        <v>1398</v>
      </c>
      <c r="V16" s="49" t="s">
        <v>287</v>
      </c>
      <c r="W16" s="49" t="s">
        <v>65</v>
      </c>
      <c r="X16" s="49" t="s">
        <v>288</v>
      </c>
      <c r="Y16" s="49" t="s">
        <v>1499</v>
      </c>
      <c r="Z16" s="49" t="s">
        <v>1500</v>
      </c>
      <c r="AA16" s="49" t="s">
        <v>1390</v>
      </c>
    </row>
    <row r="17" spans="1:27" ht="52" customHeight="1">
      <c r="A17" s="49" t="s">
        <v>289</v>
      </c>
      <c r="B17" s="49" t="s">
        <v>268</v>
      </c>
      <c r="C17" s="49" t="s">
        <v>47</v>
      </c>
      <c r="D17" s="49" t="s">
        <v>48</v>
      </c>
      <c r="E17" s="49" t="s">
        <v>28</v>
      </c>
      <c r="F17" s="49" t="s">
        <v>291</v>
      </c>
      <c r="G17" s="49" t="s">
        <v>290</v>
      </c>
      <c r="H17" s="49" t="s">
        <v>1653</v>
      </c>
      <c r="I17" s="49" t="s">
        <v>1383</v>
      </c>
      <c r="J17" s="49" t="s">
        <v>1383</v>
      </c>
      <c r="K17" s="49" t="s">
        <v>292</v>
      </c>
      <c r="L17" s="50">
        <v>1</v>
      </c>
      <c r="M17" s="51">
        <v>240</v>
      </c>
      <c r="N17" s="52">
        <f t="shared" si="0"/>
        <v>4</v>
      </c>
      <c r="O17" s="53">
        <v>30</v>
      </c>
      <c r="P17" s="54">
        <f t="shared" si="1"/>
        <v>120</v>
      </c>
      <c r="Q17" s="49" t="s">
        <v>1693</v>
      </c>
      <c r="R17" s="49" t="s">
        <v>466</v>
      </c>
      <c r="S17" s="49" t="s">
        <v>1694</v>
      </c>
      <c r="T17" s="49" t="s">
        <v>1695</v>
      </c>
      <c r="U17" s="49" t="s">
        <v>1696</v>
      </c>
      <c r="V17" s="49" t="s">
        <v>293</v>
      </c>
      <c r="W17" s="49" t="s">
        <v>295</v>
      </c>
      <c r="X17" s="49" t="s">
        <v>294</v>
      </c>
      <c r="Y17" s="49" t="s">
        <v>1697</v>
      </c>
      <c r="Z17" s="49" t="s">
        <v>1389</v>
      </c>
      <c r="AA17" s="49" t="s">
        <v>1390</v>
      </c>
    </row>
    <row r="18" spans="1:27" ht="108" customHeight="1">
      <c r="A18" s="49" t="s">
        <v>296</v>
      </c>
      <c r="B18" s="49" t="s">
        <v>268</v>
      </c>
      <c r="C18" s="49" t="s">
        <v>47</v>
      </c>
      <c r="D18" s="49" t="s">
        <v>55</v>
      </c>
      <c r="E18" s="49" t="s">
        <v>72</v>
      </c>
      <c r="F18" s="49" t="s">
        <v>298</v>
      </c>
      <c r="G18" s="49" t="s">
        <v>297</v>
      </c>
      <c r="H18" s="49" t="s">
        <v>1653</v>
      </c>
      <c r="I18" s="49" t="s">
        <v>1383</v>
      </c>
      <c r="J18" s="49" t="s">
        <v>1383</v>
      </c>
      <c r="K18" s="49" t="s">
        <v>299</v>
      </c>
      <c r="L18" s="50">
        <v>1</v>
      </c>
      <c r="M18" s="51">
        <v>60</v>
      </c>
      <c r="N18" s="52">
        <f t="shared" si="0"/>
        <v>1</v>
      </c>
      <c r="O18" s="53">
        <v>30</v>
      </c>
      <c r="P18" s="54">
        <f t="shared" si="1"/>
        <v>30</v>
      </c>
      <c r="Q18" s="55" t="s">
        <v>1698</v>
      </c>
      <c r="R18" s="55" t="s">
        <v>1699</v>
      </c>
      <c r="S18" s="55" t="s">
        <v>1700</v>
      </c>
      <c r="T18" s="55" t="s">
        <v>1701</v>
      </c>
      <c r="U18" s="55" t="s">
        <v>1702</v>
      </c>
      <c r="V18" s="55" t="s">
        <v>300</v>
      </c>
      <c r="W18" s="55" t="s">
        <v>302</v>
      </c>
      <c r="X18" s="55" t="s">
        <v>301</v>
      </c>
      <c r="Y18" s="55" t="s">
        <v>1703</v>
      </c>
      <c r="Z18" s="49" t="s">
        <v>1389</v>
      </c>
      <c r="AA18" s="49" t="s">
        <v>1390</v>
      </c>
    </row>
    <row r="19" spans="1:27" ht="52" customHeight="1">
      <c r="A19" s="49" t="s">
        <v>303</v>
      </c>
      <c r="B19" s="49" t="s">
        <v>268</v>
      </c>
      <c r="C19" s="49" t="s">
        <v>47</v>
      </c>
      <c r="D19" s="49" t="s">
        <v>48</v>
      </c>
      <c r="E19" s="49" t="s">
        <v>79</v>
      </c>
      <c r="F19" s="49" t="s">
        <v>1704</v>
      </c>
      <c r="G19" s="49" t="s">
        <v>1705</v>
      </c>
      <c r="H19" s="49" t="s">
        <v>1653</v>
      </c>
      <c r="I19" s="49" t="s">
        <v>1383</v>
      </c>
      <c r="J19" s="49" t="s">
        <v>1383</v>
      </c>
      <c r="K19" s="49" t="s">
        <v>23</v>
      </c>
      <c r="L19" s="50">
        <v>1</v>
      </c>
      <c r="M19" s="51">
        <v>120</v>
      </c>
      <c r="N19" s="52">
        <f t="shared" si="0"/>
        <v>2</v>
      </c>
      <c r="O19" s="53">
        <v>30</v>
      </c>
      <c r="P19" s="54">
        <f t="shared" si="1"/>
        <v>60</v>
      </c>
      <c r="Q19" s="49" t="s">
        <v>1693</v>
      </c>
      <c r="R19" s="49" t="s">
        <v>466</v>
      </c>
      <c r="S19" s="49" t="s">
        <v>1694</v>
      </c>
      <c r="T19" s="49" t="s">
        <v>1695</v>
      </c>
      <c r="U19" s="49" t="s">
        <v>1706</v>
      </c>
      <c r="V19" s="49" t="s">
        <v>279</v>
      </c>
      <c r="W19" s="49" t="s">
        <v>305</v>
      </c>
      <c r="X19" s="49" t="s">
        <v>304</v>
      </c>
      <c r="Y19" s="49" t="s">
        <v>1707</v>
      </c>
      <c r="Z19" s="49" t="s">
        <v>1389</v>
      </c>
      <c r="AA19" s="49" t="s">
        <v>1390</v>
      </c>
    </row>
    <row r="20" spans="1:27" ht="52" customHeight="1">
      <c r="A20" s="49" t="s">
        <v>306</v>
      </c>
      <c r="B20" s="49" t="s">
        <v>268</v>
      </c>
      <c r="C20" s="49" t="s">
        <v>47</v>
      </c>
      <c r="D20" s="49" t="s">
        <v>48</v>
      </c>
      <c r="E20" s="49" t="s">
        <v>79</v>
      </c>
      <c r="F20" s="49" t="s">
        <v>86</v>
      </c>
      <c r="G20" s="49" t="s">
        <v>85</v>
      </c>
      <c r="H20" s="49" t="s">
        <v>1653</v>
      </c>
      <c r="I20" s="49" t="s">
        <v>1383</v>
      </c>
      <c r="J20" s="49" t="s">
        <v>1383</v>
      </c>
      <c r="K20" s="49" t="s">
        <v>23</v>
      </c>
      <c r="L20" s="50">
        <v>1</v>
      </c>
      <c r="M20" s="51">
        <v>30</v>
      </c>
      <c r="N20" s="52">
        <f t="shared" si="0"/>
        <v>0.5</v>
      </c>
      <c r="O20" s="53">
        <v>30</v>
      </c>
      <c r="P20" s="54">
        <f t="shared" si="1"/>
        <v>15</v>
      </c>
      <c r="Q20" s="49" t="s">
        <v>1693</v>
      </c>
      <c r="R20" s="49" t="s">
        <v>466</v>
      </c>
      <c r="S20" s="49" t="s">
        <v>1694</v>
      </c>
      <c r="T20" s="49" t="s">
        <v>1695</v>
      </c>
      <c r="U20" s="49" t="s">
        <v>1504</v>
      </c>
      <c r="V20" s="49" t="s">
        <v>279</v>
      </c>
      <c r="W20" s="49" t="s">
        <v>308</v>
      </c>
      <c r="X20" s="49" t="s">
        <v>307</v>
      </c>
      <c r="Y20" s="49"/>
      <c r="Z20" s="49" t="s">
        <v>1506</v>
      </c>
      <c r="AA20" s="49" t="s">
        <v>1390</v>
      </c>
    </row>
    <row r="21" spans="1:27" ht="52" customHeight="1">
      <c r="A21" s="49" t="s">
        <v>309</v>
      </c>
      <c r="B21" s="49" t="s">
        <v>268</v>
      </c>
      <c r="C21" s="49" t="s">
        <v>47</v>
      </c>
      <c r="D21" s="49" t="s">
        <v>48</v>
      </c>
      <c r="E21" s="49" t="s">
        <v>79</v>
      </c>
      <c r="F21" s="49" t="s">
        <v>91</v>
      </c>
      <c r="G21" s="49" t="s">
        <v>90</v>
      </c>
      <c r="H21" s="49" t="s">
        <v>1653</v>
      </c>
      <c r="I21" s="49" t="s">
        <v>1383</v>
      </c>
      <c r="J21" s="49" t="s">
        <v>1383</v>
      </c>
      <c r="K21" s="49" t="s">
        <v>23</v>
      </c>
      <c r="L21" s="50">
        <v>1</v>
      </c>
      <c r="M21" s="51">
        <v>60</v>
      </c>
      <c r="N21" s="52">
        <f t="shared" si="0"/>
        <v>1</v>
      </c>
      <c r="O21" s="53">
        <v>30</v>
      </c>
      <c r="P21" s="54">
        <f t="shared" si="1"/>
        <v>30</v>
      </c>
      <c r="Q21" s="49" t="s">
        <v>1693</v>
      </c>
      <c r="R21" s="49" t="s">
        <v>466</v>
      </c>
      <c r="S21" s="49" t="s">
        <v>1694</v>
      </c>
      <c r="T21" s="49" t="s">
        <v>1695</v>
      </c>
      <c r="U21" s="49" t="s">
        <v>1504</v>
      </c>
      <c r="V21" s="49" t="s">
        <v>310</v>
      </c>
      <c r="W21" s="49" t="s">
        <v>312</v>
      </c>
      <c r="X21" s="49" t="s">
        <v>311</v>
      </c>
      <c r="Y21" s="49"/>
      <c r="Z21" s="49" t="s">
        <v>1507</v>
      </c>
      <c r="AA21" s="49" t="s">
        <v>1390</v>
      </c>
    </row>
    <row r="22" spans="1:27" ht="52" customHeight="1">
      <c r="A22" s="49" t="s">
        <v>313</v>
      </c>
      <c r="B22" s="49" t="s">
        <v>268</v>
      </c>
      <c r="C22" s="49" t="s">
        <v>47</v>
      </c>
      <c r="D22" s="49" t="s">
        <v>48</v>
      </c>
      <c r="E22" s="49" t="s">
        <v>79</v>
      </c>
      <c r="F22" s="49" t="s">
        <v>96</v>
      </c>
      <c r="G22" s="49" t="s">
        <v>95</v>
      </c>
      <c r="H22" s="49" t="s">
        <v>1653</v>
      </c>
      <c r="I22" s="49" t="s">
        <v>1383</v>
      </c>
      <c r="J22" s="49" t="s">
        <v>1383</v>
      </c>
      <c r="K22" s="49" t="s">
        <v>23</v>
      </c>
      <c r="L22" s="50">
        <v>1</v>
      </c>
      <c r="M22" s="51">
        <v>60</v>
      </c>
      <c r="N22" s="52">
        <f t="shared" si="0"/>
        <v>1</v>
      </c>
      <c r="O22" s="53">
        <v>30</v>
      </c>
      <c r="P22" s="54">
        <f t="shared" si="1"/>
        <v>30</v>
      </c>
      <c r="Q22" s="49" t="s">
        <v>1693</v>
      </c>
      <c r="R22" s="49" t="s">
        <v>466</v>
      </c>
      <c r="S22" s="49" t="s">
        <v>1694</v>
      </c>
      <c r="T22" s="49" t="s">
        <v>1695</v>
      </c>
      <c r="U22" s="49" t="s">
        <v>1504</v>
      </c>
      <c r="V22" s="49" t="s">
        <v>310</v>
      </c>
      <c r="W22" s="49" t="s">
        <v>312</v>
      </c>
      <c r="X22" s="49" t="s">
        <v>311</v>
      </c>
      <c r="Y22" s="49"/>
      <c r="Z22" s="49" t="s">
        <v>1508</v>
      </c>
      <c r="AA22" s="49" t="s">
        <v>1390</v>
      </c>
    </row>
    <row r="23" spans="1:27" ht="52" customHeight="1">
      <c r="A23" s="49" t="s">
        <v>314</v>
      </c>
      <c r="B23" s="49" t="s">
        <v>268</v>
      </c>
      <c r="C23" s="49" t="s">
        <v>47</v>
      </c>
      <c r="D23" s="49" t="s">
        <v>48</v>
      </c>
      <c r="E23" s="49" t="s">
        <v>99</v>
      </c>
      <c r="F23" s="49" t="s">
        <v>101</v>
      </c>
      <c r="G23" s="49" t="s">
        <v>100</v>
      </c>
      <c r="H23" s="49" t="s">
        <v>1653</v>
      </c>
      <c r="I23" s="49" t="s">
        <v>1383</v>
      </c>
      <c r="J23" s="49" t="s">
        <v>1383</v>
      </c>
      <c r="K23" s="49" t="s">
        <v>23</v>
      </c>
      <c r="L23" s="50">
        <v>1</v>
      </c>
      <c r="M23" s="51">
        <v>30</v>
      </c>
      <c r="N23" s="52">
        <f t="shared" si="0"/>
        <v>0.5</v>
      </c>
      <c r="O23" s="53">
        <v>30</v>
      </c>
      <c r="P23" s="54">
        <f t="shared" si="1"/>
        <v>15</v>
      </c>
      <c r="Q23" s="49" t="s">
        <v>1693</v>
      </c>
      <c r="R23" s="49" t="s">
        <v>466</v>
      </c>
      <c r="S23" s="49" t="s">
        <v>1694</v>
      </c>
      <c r="T23" s="49" t="s">
        <v>1695</v>
      </c>
      <c r="U23" s="49" t="s">
        <v>1504</v>
      </c>
      <c r="V23" s="49" t="s">
        <v>310</v>
      </c>
      <c r="W23" s="49" t="s">
        <v>312</v>
      </c>
      <c r="X23" s="49" t="s">
        <v>311</v>
      </c>
      <c r="Y23" s="49"/>
      <c r="Z23" s="49" t="s">
        <v>1509</v>
      </c>
      <c r="AA23" s="49" t="s">
        <v>1390</v>
      </c>
    </row>
    <row r="24" spans="1:27" ht="52" customHeight="1">
      <c r="A24" s="49" t="s">
        <v>315</v>
      </c>
      <c r="B24" s="49" t="s">
        <v>268</v>
      </c>
      <c r="C24" s="49" t="s">
        <v>47</v>
      </c>
      <c r="D24" s="49" t="s">
        <v>48</v>
      </c>
      <c r="E24" s="49" t="s">
        <v>99</v>
      </c>
      <c r="F24" s="49" t="s">
        <v>106</v>
      </c>
      <c r="G24" s="49" t="s">
        <v>105</v>
      </c>
      <c r="H24" s="49" t="s">
        <v>1653</v>
      </c>
      <c r="I24" s="49" t="s">
        <v>1383</v>
      </c>
      <c r="J24" s="49" t="s">
        <v>1383</v>
      </c>
      <c r="K24" s="49" t="s">
        <v>23</v>
      </c>
      <c r="L24" s="50">
        <v>1</v>
      </c>
      <c r="M24" s="51">
        <v>30</v>
      </c>
      <c r="N24" s="52">
        <f t="shared" si="0"/>
        <v>0.5</v>
      </c>
      <c r="O24" s="53">
        <v>30</v>
      </c>
      <c r="P24" s="54">
        <f t="shared" si="1"/>
        <v>15</v>
      </c>
      <c r="Q24" s="49" t="s">
        <v>1693</v>
      </c>
      <c r="R24" s="49" t="s">
        <v>466</v>
      </c>
      <c r="S24" s="49" t="s">
        <v>1694</v>
      </c>
      <c r="T24" s="49" t="s">
        <v>1695</v>
      </c>
      <c r="U24" s="49" t="s">
        <v>1504</v>
      </c>
      <c r="V24" s="49" t="s">
        <v>310</v>
      </c>
      <c r="W24" s="49" t="s">
        <v>312</v>
      </c>
      <c r="X24" s="49" t="s">
        <v>311</v>
      </c>
      <c r="Y24" s="49"/>
      <c r="Z24" s="49" t="s">
        <v>1510</v>
      </c>
      <c r="AA24" s="49" t="s">
        <v>1390</v>
      </c>
    </row>
    <row r="25" spans="1:27" ht="52" customHeight="1">
      <c r="A25" s="49" t="s">
        <v>316</v>
      </c>
      <c r="B25" s="49" t="s">
        <v>268</v>
      </c>
      <c r="C25" s="49" t="s">
        <v>47</v>
      </c>
      <c r="D25" s="49" t="s">
        <v>48</v>
      </c>
      <c r="E25" s="49" t="s">
        <v>99</v>
      </c>
      <c r="F25" s="49" t="s">
        <v>111</v>
      </c>
      <c r="G25" s="49" t="s">
        <v>110</v>
      </c>
      <c r="H25" s="49" t="s">
        <v>1653</v>
      </c>
      <c r="I25" s="49" t="s">
        <v>1383</v>
      </c>
      <c r="J25" s="49" t="s">
        <v>1383</v>
      </c>
      <c r="K25" s="49" t="s">
        <v>23</v>
      </c>
      <c r="L25" s="50">
        <v>1</v>
      </c>
      <c r="M25" s="51">
        <v>60</v>
      </c>
      <c r="N25" s="52">
        <f t="shared" si="0"/>
        <v>1</v>
      </c>
      <c r="O25" s="53">
        <v>30</v>
      </c>
      <c r="P25" s="54">
        <f t="shared" si="1"/>
        <v>30</v>
      </c>
      <c r="Q25" s="49" t="s">
        <v>1693</v>
      </c>
      <c r="R25" s="49" t="s">
        <v>466</v>
      </c>
      <c r="S25" s="49" t="s">
        <v>1694</v>
      </c>
      <c r="T25" s="49" t="s">
        <v>1695</v>
      </c>
      <c r="U25" s="49" t="s">
        <v>1504</v>
      </c>
      <c r="V25" s="49" t="s">
        <v>310</v>
      </c>
      <c r="W25" s="49" t="s">
        <v>312</v>
      </c>
      <c r="X25" s="49" t="s">
        <v>311</v>
      </c>
      <c r="Y25" s="49"/>
      <c r="Z25" s="49" t="s">
        <v>1511</v>
      </c>
      <c r="AA25" s="49" t="s">
        <v>1390</v>
      </c>
    </row>
    <row r="26" spans="1:27" ht="52" customHeight="1">
      <c r="A26" s="49" t="s">
        <v>317</v>
      </c>
      <c r="B26" s="49" t="s">
        <v>268</v>
      </c>
      <c r="C26" s="49" t="s">
        <v>47</v>
      </c>
      <c r="D26" s="49" t="s">
        <v>48</v>
      </c>
      <c r="E26" s="49" t="s">
        <v>99</v>
      </c>
      <c r="F26" s="49" t="s">
        <v>116</v>
      </c>
      <c r="G26" s="49" t="s">
        <v>115</v>
      </c>
      <c r="H26" s="49" t="s">
        <v>1653</v>
      </c>
      <c r="I26" s="49" t="s">
        <v>1383</v>
      </c>
      <c r="J26" s="49" t="s">
        <v>1383</v>
      </c>
      <c r="K26" s="49" t="s">
        <v>23</v>
      </c>
      <c r="L26" s="50">
        <v>1</v>
      </c>
      <c r="M26" s="51">
        <v>30</v>
      </c>
      <c r="N26" s="52">
        <f t="shared" si="0"/>
        <v>0.5</v>
      </c>
      <c r="O26" s="53">
        <v>30</v>
      </c>
      <c r="P26" s="54">
        <f t="shared" si="1"/>
        <v>15</v>
      </c>
      <c r="Q26" s="49" t="s">
        <v>1693</v>
      </c>
      <c r="R26" s="49" t="s">
        <v>466</v>
      </c>
      <c r="S26" s="49" t="s">
        <v>1694</v>
      </c>
      <c r="T26" s="49" t="s">
        <v>1695</v>
      </c>
      <c r="U26" s="49" t="s">
        <v>1504</v>
      </c>
      <c r="V26" s="49" t="s">
        <v>310</v>
      </c>
      <c r="W26" s="49" t="s">
        <v>312</v>
      </c>
      <c r="X26" s="49" t="s">
        <v>311</v>
      </c>
      <c r="Y26" s="49"/>
      <c r="Z26" s="49" t="s">
        <v>1512</v>
      </c>
      <c r="AA26" s="49" t="s">
        <v>1390</v>
      </c>
    </row>
    <row r="27" spans="1:27" ht="52" customHeight="1">
      <c r="A27" s="49" t="s">
        <v>318</v>
      </c>
      <c r="B27" s="49" t="s">
        <v>268</v>
      </c>
      <c r="C27" s="49" t="s">
        <v>47</v>
      </c>
      <c r="D27" s="49" t="s">
        <v>48</v>
      </c>
      <c r="E27" s="49" t="s">
        <v>99</v>
      </c>
      <c r="F27" s="49" t="s">
        <v>121</v>
      </c>
      <c r="G27" s="49" t="s">
        <v>120</v>
      </c>
      <c r="H27" s="49" t="s">
        <v>1653</v>
      </c>
      <c r="I27" s="49" t="s">
        <v>1383</v>
      </c>
      <c r="J27" s="49" t="s">
        <v>1383</v>
      </c>
      <c r="K27" s="49" t="s">
        <v>23</v>
      </c>
      <c r="L27" s="50">
        <v>1</v>
      </c>
      <c r="M27" s="51">
        <v>30</v>
      </c>
      <c r="N27" s="52">
        <f t="shared" si="0"/>
        <v>0.5</v>
      </c>
      <c r="O27" s="53">
        <v>30</v>
      </c>
      <c r="P27" s="54">
        <f t="shared" si="1"/>
        <v>15</v>
      </c>
      <c r="Q27" s="49" t="s">
        <v>1693</v>
      </c>
      <c r="R27" s="49" t="s">
        <v>466</v>
      </c>
      <c r="S27" s="49" t="s">
        <v>1694</v>
      </c>
      <c r="T27" s="49" t="s">
        <v>1695</v>
      </c>
      <c r="U27" s="49" t="s">
        <v>1504</v>
      </c>
      <c r="V27" s="49" t="s">
        <v>310</v>
      </c>
      <c r="W27" s="49" t="s">
        <v>312</v>
      </c>
      <c r="X27" s="49" t="s">
        <v>311</v>
      </c>
      <c r="Y27" s="49"/>
      <c r="Z27" s="49" t="s">
        <v>1513</v>
      </c>
      <c r="AA27" s="49" t="s">
        <v>1390</v>
      </c>
    </row>
    <row r="28" spans="1:27" ht="52" customHeight="1">
      <c r="A28" s="49" t="s">
        <v>319</v>
      </c>
      <c r="B28" s="49" t="s">
        <v>268</v>
      </c>
      <c r="C28" s="49" t="s">
        <v>47</v>
      </c>
      <c r="D28" s="49" t="s">
        <v>48</v>
      </c>
      <c r="E28" s="49" t="s">
        <v>99</v>
      </c>
      <c r="F28" s="49" t="s">
        <v>126</v>
      </c>
      <c r="G28" s="49" t="s">
        <v>125</v>
      </c>
      <c r="H28" s="49" t="s">
        <v>1653</v>
      </c>
      <c r="I28" s="49" t="s">
        <v>1383</v>
      </c>
      <c r="J28" s="49" t="s">
        <v>1383</v>
      </c>
      <c r="K28" s="49" t="s">
        <v>23</v>
      </c>
      <c r="L28" s="50">
        <v>1</v>
      </c>
      <c r="M28" s="51">
        <v>30</v>
      </c>
      <c r="N28" s="52">
        <f t="shared" si="0"/>
        <v>0.5</v>
      </c>
      <c r="O28" s="53">
        <v>30</v>
      </c>
      <c r="P28" s="54">
        <f t="shared" si="1"/>
        <v>15</v>
      </c>
      <c r="Q28" s="49" t="s">
        <v>1693</v>
      </c>
      <c r="R28" s="49" t="s">
        <v>466</v>
      </c>
      <c r="S28" s="49" t="s">
        <v>1694</v>
      </c>
      <c r="T28" s="49" t="s">
        <v>1695</v>
      </c>
      <c r="U28" s="49" t="s">
        <v>1504</v>
      </c>
      <c r="V28" s="49" t="s">
        <v>310</v>
      </c>
      <c r="W28" s="49" t="s">
        <v>312</v>
      </c>
      <c r="X28" s="49" t="s">
        <v>311</v>
      </c>
      <c r="Y28" s="49"/>
      <c r="Z28" s="49" t="s">
        <v>1514</v>
      </c>
      <c r="AA28" s="49" t="s">
        <v>1390</v>
      </c>
    </row>
    <row r="29" spans="1:27" ht="52" customHeight="1">
      <c r="A29" s="49" t="s">
        <v>320</v>
      </c>
      <c r="B29" s="49" t="s">
        <v>268</v>
      </c>
      <c r="C29" s="49" t="s">
        <v>47</v>
      </c>
      <c r="D29" s="49" t="s">
        <v>48</v>
      </c>
      <c r="E29" s="49" t="s">
        <v>130</v>
      </c>
      <c r="F29" s="49" t="s">
        <v>132</v>
      </c>
      <c r="G29" s="49" t="s">
        <v>131</v>
      </c>
      <c r="H29" s="49" t="s">
        <v>1653</v>
      </c>
      <c r="I29" s="49" t="s">
        <v>1383</v>
      </c>
      <c r="J29" s="49" t="s">
        <v>1383</v>
      </c>
      <c r="K29" s="49" t="s">
        <v>133</v>
      </c>
      <c r="L29" s="50">
        <v>1</v>
      </c>
      <c r="M29" s="51">
        <v>30</v>
      </c>
      <c r="N29" s="52">
        <f t="shared" si="0"/>
        <v>0.5</v>
      </c>
      <c r="O29" s="53">
        <v>30</v>
      </c>
      <c r="P29" s="54">
        <f t="shared" si="1"/>
        <v>15</v>
      </c>
      <c r="Q29" s="49" t="s">
        <v>1693</v>
      </c>
      <c r="R29" s="49" t="s">
        <v>466</v>
      </c>
      <c r="S29" s="49" t="s">
        <v>1694</v>
      </c>
      <c r="T29" s="49" t="s">
        <v>1695</v>
      </c>
      <c r="U29" s="49" t="s">
        <v>1504</v>
      </c>
      <c r="V29" s="49" t="s">
        <v>279</v>
      </c>
      <c r="W29" s="49" t="s">
        <v>308</v>
      </c>
      <c r="X29" s="49" t="s">
        <v>307</v>
      </c>
      <c r="Y29" s="49"/>
      <c r="Z29" s="49" t="s">
        <v>1515</v>
      </c>
      <c r="AA29" s="49" t="s">
        <v>1390</v>
      </c>
    </row>
    <row r="30" spans="1:27" ht="52" customHeight="1">
      <c r="A30" s="49" t="s">
        <v>321</v>
      </c>
      <c r="B30" s="49" t="s">
        <v>268</v>
      </c>
      <c r="C30" s="49" t="s">
        <v>47</v>
      </c>
      <c r="D30" s="49" t="s">
        <v>48</v>
      </c>
      <c r="E30" s="49" t="s">
        <v>130</v>
      </c>
      <c r="F30" s="49" t="s">
        <v>137</v>
      </c>
      <c r="G30" s="49" t="s">
        <v>136</v>
      </c>
      <c r="H30" s="49" t="s">
        <v>1653</v>
      </c>
      <c r="I30" s="49" t="s">
        <v>1383</v>
      </c>
      <c r="J30" s="49" t="s">
        <v>1383</v>
      </c>
      <c r="K30" s="49" t="s">
        <v>133</v>
      </c>
      <c r="L30" s="50">
        <v>1</v>
      </c>
      <c r="M30" s="51">
        <v>30</v>
      </c>
      <c r="N30" s="52">
        <f t="shared" si="0"/>
        <v>0.5</v>
      </c>
      <c r="O30" s="53">
        <v>30</v>
      </c>
      <c r="P30" s="54">
        <f t="shared" si="1"/>
        <v>15</v>
      </c>
      <c r="Q30" s="49" t="s">
        <v>1693</v>
      </c>
      <c r="R30" s="49" t="s">
        <v>466</v>
      </c>
      <c r="S30" s="49" t="s">
        <v>1694</v>
      </c>
      <c r="T30" s="49" t="s">
        <v>1695</v>
      </c>
      <c r="U30" s="49" t="s">
        <v>1504</v>
      </c>
      <c r="V30" s="49" t="s">
        <v>279</v>
      </c>
      <c r="W30" s="49" t="s">
        <v>308</v>
      </c>
      <c r="X30" s="49" t="s">
        <v>307</v>
      </c>
      <c r="Y30" s="49"/>
      <c r="Z30" s="49" t="s">
        <v>1516</v>
      </c>
      <c r="AA30" s="49" t="s">
        <v>1390</v>
      </c>
    </row>
    <row r="31" spans="1:27" ht="76" customHeight="1">
      <c r="A31" s="49" t="s">
        <v>1708</v>
      </c>
      <c r="B31" s="49" t="s">
        <v>268</v>
      </c>
      <c r="C31" s="49" t="s">
        <v>47</v>
      </c>
      <c r="D31" s="49" t="s">
        <v>1690</v>
      </c>
      <c r="E31" s="49" t="s">
        <v>1518</v>
      </c>
      <c r="F31" s="49" t="s">
        <v>1519</v>
      </c>
      <c r="G31" s="49" t="s">
        <v>1520</v>
      </c>
      <c r="H31" s="49" t="s">
        <v>1521</v>
      </c>
      <c r="I31" s="49" t="s">
        <v>1405</v>
      </c>
      <c r="J31" s="56" t="s">
        <v>1405</v>
      </c>
      <c r="K31" s="49" t="s">
        <v>23</v>
      </c>
      <c r="L31" s="50">
        <v>1</v>
      </c>
      <c r="M31" s="51">
        <v>60</v>
      </c>
      <c r="N31" s="52">
        <f t="shared" si="0"/>
        <v>1</v>
      </c>
      <c r="O31" s="53">
        <v>30</v>
      </c>
      <c r="P31" s="54">
        <f t="shared" si="1"/>
        <v>30</v>
      </c>
      <c r="Q31" s="49" t="s">
        <v>1522</v>
      </c>
      <c r="R31" s="49" t="s">
        <v>466</v>
      </c>
      <c r="S31" s="49" t="s">
        <v>1694</v>
      </c>
      <c r="T31" s="49" t="s">
        <v>1709</v>
      </c>
      <c r="U31" s="49" t="s">
        <v>1504</v>
      </c>
      <c r="V31" s="49" t="s">
        <v>1710</v>
      </c>
      <c r="W31" s="49" t="s">
        <v>1711</v>
      </c>
      <c r="X31" s="49" t="s">
        <v>1712</v>
      </c>
      <c r="Y31" s="49" t="s">
        <v>1526</v>
      </c>
      <c r="Z31" s="49" t="s">
        <v>840</v>
      </c>
      <c r="AA31" s="49" t="s">
        <v>1390</v>
      </c>
    </row>
    <row r="32" spans="1:27" ht="76" customHeight="1">
      <c r="A32" s="49" t="s">
        <v>1713</v>
      </c>
      <c r="B32" s="49" t="s">
        <v>268</v>
      </c>
      <c r="C32" s="49" t="s">
        <v>47</v>
      </c>
      <c r="D32" s="49" t="s">
        <v>1690</v>
      </c>
      <c r="E32" s="49" t="s">
        <v>1518</v>
      </c>
      <c r="F32" s="49" t="s">
        <v>1528</v>
      </c>
      <c r="G32" s="49" t="s">
        <v>1529</v>
      </c>
      <c r="H32" s="49" t="s">
        <v>1521</v>
      </c>
      <c r="I32" s="49" t="s">
        <v>1405</v>
      </c>
      <c r="J32" s="56" t="s">
        <v>1405</v>
      </c>
      <c r="K32" s="49" t="s">
        <v>23</v>
      </c>
      <c r="L32" s="50">
        <v>1</v>
      </c>
      <c r="M32" s="51">
        <v>60</v>
      </c>
      <c r="N32" s="52">
        <f t="shared" si="0"/>
        <v>1</v>
      </c>
      <c r="O32" s="53">
        <v>30</v>
      </c>
      <c r="P32" s="54">
        <f t="shared" si="1"/>
        <v>30</v>
      </c>
      <c r="Q32" s="49" t="s">
        <v>1522</v>
      </c>
      <c r="R32" s="49" t="s">
        <v>466</v>
      </c>
      <c r="S32" s="49" t="s">
        <v>1694</v>
      </c>
      <c r="T32" s="49" t="s">
        <v>1709</v>
      </c>
      <c r="U32" s="49" t="s">
        <v>1504</v>
      </c>
      <c r="V32" s="49" t="s">
        <v>1710</v>
      </c>
      <c r="W32" s="49" t="s">
        <v>1711</v>
      </c>
      <c r="X32" s="49" t="s">
        <v>1712</v>
      </c>
      <c r="Y32" s="49" t="s">
        <v>1526</v>
      </c>
      <c r="Z32" s="49" t="s">
        <v>848</v>
      </c>
      <c r="AA32" s="49" t="s">
        <v>1390</v>
      </c>
    </row>
    <row r="33" spans="1:27" ht="76" customHeight="1">
      <c r="A33" s="49" t="s">
        <v>1714</v>
      </c>
      <c r="B33" s="49" t="s">
        <v>268</v>
      </c>
      <c r="C33" s="49" t="s">
        <v>47</v>
      </c>
      <c r="D33" s="49" t="s">
        <v>1690</v>
      </c>
      <c r="E33" s="49" t="s">
        <v>1518</v>
      </c>
      <c r="F33" s="49" t="s">
        <v>1531</v>
      </c>
      <c r="G33" s="49" t="s">
        <v>1532</v>
      </c>
      <c r="H33" s="49" t="s">
        <v>1521</v>
      </c>
      <c r="I33" s="49" t="s">
        <v>1405</v>
      </c>
      <c r="J33" s="56" t="s">
        <v>1405</v>
      </c>
      <c r="K33" s="49" t="s">
        <v>23</v>
      </c>
      <c r="L33" s="50">
        <v>1</v>
      </c>
      <c r="M33" s="51">
        <v>30</v>
      </c>
      <c r="N33" s="52">
        <f t="shared" si="0"/>
        <v>0.5</v>
      </c>
      <c r="O33" s="53">
        <v>30</v>
      </c>
      <c r="P33" s="54">
        <f t="shared" si="1"/>
        <v>15</v>
      </c>
      <c r="Q33" s="49" t="s">
        <v>1522</v>
      </c>
      <c r="R33" s="49" t="s">
        <v>466</v>
      </c>
      <c r="S33" s="49" t="s">
        <v>1694</v>
      </c>
      <c r="T33" s="49" t="s">
        <v>1709</v>
      </c>
      <c r="U33" s="49" t="s">
        <v>1504</v>
      </c>
      <c r="V33" s="49" t="s">
        <v>1710</v>
      </c>
      <c r="W33" s="49" t="s">
        <v>1711</v>
      </c>
      <c r="X33" s="49" t="s">
        <v>1712</v>
      </c>
      <c r="Y33" s="49" t="s">
        <v>1526</v>
      </c>
      <c r="Z33" s="49" t="s">
        <v>851</v>
      </c>
      <c r="AA33" s="49" t="s">
        <v>1390</v>
      </c>
    </row>
    <row r="34" spans="1:27" ht="76" customHeight="1">
      <c r="A34" s="49" t="s">
        <v>1715</v>
      </c>
      <c r="B34" s="49" t="s">
        <v>268</v>
      </c>
      <c r="C34" s="49" t="s">
        <v>47</v>
      </c>
      <c r="D34" s="49" t="s">
        <v>1690</v>
      </c>
      <c r="E34" s="49" t="s">
        <v>1518</v>
      </c>
      <c r="F34" s="49" t="s">
        <v>1534</v>
      </c>
      <c r="G34" s="49" t="s">
        <v>1535</v>
      </c>
      <c r="H34" s="49" t="s">
        <v>1521</v>
      </c>
      <c r="I34" s="49" t="s">
        <v>1405</v>
      </c>
      <c r="J34" s="56" t="s">
        <v>1405</v>
      </c>
      <c r="K34" s="49" t="s">
        <v>23</v>
      </c>
      <c r="L34" s="50">
        <v>1</v>
      </c>
      <c r="M34" s="51">
        <v>120</v>
      </c>
      <c r="N34" s="52">
        <f t="shared" si="0"/>
        <v>2</v>
      </c>
      <c r="O34" s="53">
        <v>30</v>
      </c>
      <c r="P34" s="54">
        <f t="shared" si="1"/>
        <v>60</v>
      </c>
      <c r="Q34" s="49" t="s">
        <v>1522</v>
      </c>
      <c r="R34" s="49" t="s">
        <v>466</v>
      </c>
      <c r="S34" s="49" t="s">
        <v>1694</v>
      </c>
      <c r="T34" s="49" t="s">
        <v>1709</v>
      </c>
      <c r="U34" s="49" t="s">
        <v>1504</v>
      </c>
      <c r="V34" s="49" t="s">
        <v>1710</v>
      </c>
      <c r="W34" s="49" t="s">
        <v>1711</v>
      </c>
      <c r="X34" s="49" t="s">
        <v>1712</v>
      </c>
      <c r="Y34" s="49" t="s">
        <v>1526</v>
      </c>
      <c r="Z34" s="49" t="s">
        <v>855</v>
      </c>
      <c r="AA34" s="49" t="s">
        <v>1390</v>
      </c>
    </row>
    <row r="35" spans="1:27" ht="76" customHeight="1">
      <c r="A35" s="49" t="s">
        <v>1716</v>
      </c>
      <c r="B35" s="49" t="s">
        <v>268</v>
      </c>
      <c r="C35" s="49" t="s">
        <v>47</v>
      </c>
      <c r="D35" s="49" t="s">
        <v>1690</v>
      </c>
      <c r="E35" s="49" t="s">
        <v>1518</v>
      </c>
      <c r="F35" s="49" t="s">
        <v>1537</v>
      </c>
      <c r="G35" s="49" t="s">
        <v>1538</v>
      </c>
      <c r="H35" s="49" t="s">
        <v>1521</v>
      </c>
      <c r="I35" s="49" t="s">
        <v>1405</v>
      </c>
      <c r="J35" s="56" t="s">
        <v>1405</v>
      </c>
      <c r="K35" s="49" t="s">
        <v>23</v>
      </c>
      <c r="L35" s="50">
        <v>1</v>
      </c>
      <c r="M35" s="51">
        <v>30</v>
      </c>
      <c r="N35" s="52">
        <f t="shared" si="0"/>
        <v>0.5</v>
      </c>
      <c r="O35" s="53">
        <v>30</v>
      </c>
      <c r="P35" s="54">
        <f t="shared" si="1"/>
        <v>15</v>
      </c>
      <c r="Q35" s="49" t="s">
        <v>1522</v>
      </c>
      <c r="R35" s="49" t="s">
        <v>466</v>
      </c>
      <c r="S35" s="49" t="s">
        <v>1694</v>
      </c>
      <c r="T35" s="49" t="s">
        <v>1709</v>
      </c>
      <c r="U35" s="49" t="s">
        <v>1504</v>
      </c>
      <c r="V35" s="49" t="s">
        <v>1710</v>
      </c>
      <c r="W35" s="49" t="s">
        <v>1711</v>
      </c>
      <c r="X35" s="49" t="s">
        <v>1712</v>
      </c>
      <c r="Y35" s="49" t="s">
        <v>1526</v>
      </c>
      <c r="Z35" s="49" t="s">
        <v>859</v>
      </c>
      <c r="AA35" s="49" t="s">
        <v>1390</v>
      </c>
    </row>
    <row r="36" spans="1:27" ht="76" customHeight="1">
      <c r="A36" s="49" t="s">
        <v>1717</v>
      </c>
      <c r="B36" s="49" t="s">
        <v>268</v>
      </c>
      <c r="C36" s="49" t="s">
        <v>47</v>
      </c>
      <c r="D36" s="49" t="s">
        <v>1690</v>
      </c>
      <c r="E36" s="49" t="s">
        <v>1518</v>
      </c>
      <c r="F36" s="49" t="s">
        <v>1540</v>
      </c>
      <c r="G36" s="49" t="s">
        <v>1541</v>
      </c>
      <c r="H36" s="49" t="s">
        <v>1521</v>
      </c>
      <c r="I36" s="49" t="s">
        <v>1405</v>
      </c>
      <c r="J36" s="56" t="s">
        <v>1405</v>
      </c>
      <c r="K36" s="49" t="s">
        <v>23</v>
      </c>
      <c r="L36" s="50">
        <v>1</v>
      </c>
      <c r="M36" s="51">
        <v>60</v>
      </c>
      <c r="N36" s="52">
        <f t="shared" si="0"/>
        <v>1</v>
      </c>
      <c r="O36" s="53">
        <v>30</v>
      </c>
      <c r="P36" s="54">
        <f t="shared" si="1"/>
        <v>30</v>
      </c>
      <c r="Q36" s="49" t="s">
        <v>1522</v>
      </c>
      <c r="R36" s="49" t="s">
        <v>466</v>
      </c>
      <c r="S36" s="49" t="s">
        <v>1694</v>
      </c>
      <c r="T36" s="49" t="s">
        <v>1709</v>
      </c>
      <c r="U36" s="49" t="s">
        <v>1504</v>
      </c>
      <c r="V36" s="49" t="s">
        <v>1710</v>
      </c>
      <c r="W36" s="49" t="s">
        <v>1711</v>
      </c>
      <c r="X36" s="49" t="s">
        <v>1712</v>
      </c>
      <c r="Y36" s="49" t="s">
        <v>1526</v>
      </c>
      <c r="Z36" s="49" t="s">
        <v>862</v>
      </c>
      <c r="AA36" s="49" t="s">
        <v>1390</v>
      </c>
    </row>
    <row r="37" spans="1:27" ht="52" customHeight="1">
      <c r="A37" s="49" t="s">
        <v>1718</v>
      </c>
      <c r="B37" s="49" t="s">
        <v>268</v>
      </c>
      <c r="C37" s="49" t="s">
        <v>47</v>
      </c>
      <c r="D37" s="49" t="s">
        <v>1690</v>
      </c>
      <c r="E37" s="49" t="s">
        <v>141</v>
      </c>
      <c r="F37" s="49" t="s">
        <v>1543</v>
      </c>
      <c r="G37" s="49" t="s">
        <v>1544</v>
      </c>
      <c r="H37" s="49" t="s">
        <v>1404</v>
      </c>
      <c r="I37" s="49" t="s">
        <v>1405</v>
      </c>
      <c r="J37" s="56" t="s">
        <v>1405</v>
      </c>
      <c r="K37" s="49" t="s">
        <v>23</v>
      </c>
      <c r="L37" s="50">
        <v>1</v>
      </c>
      <c r="M37" s="51">
        <v>180</v>
      </c>
      <c r="N37" s="52">
        <f t="shared" si="0"/>
        <v>3</v>
      </c>
      <c r="O37" s="53">
        <v>25</v>
      </c>
      <c r="P37" s="54">
        <f t="shared" si="1"/>
        <v>75</v>
      </c>
      <c r="Q37" s="49" t="s">
        <v>1406</v>
      </c>
      <c r="R37" s="49" t="s">
        <v>466</v>
      </c>
      <c r="S37" s="49" t="s">
        <v>1385</v>
      </c>
      <c r="T37" s="49" t="s">
        <v>1386</v>
      </c>
      <c r="U37" s="49" t="s">
        <v>1545</v>
      </c>
      <c r="V37" s="49" t="s">
        <v>283</v>
      </c>
      <c r="W37" s="49" t="s">
        <v>1431</v>
      </c>
      <c r="X37" s="49" t="s">
        <v>1667</v>
      </c>
      <c r="Y37" s="49"/>
      <c r="Z37" s="49" t="s">
        <v>1548</v>
      </c>
      <c r="AA37" s="49" t="s">
        <v>1390</v>
      </c>
    </row>
    <row r="38" spans="1:27" ht="76" customHeight="1">
      <c r="A38" s="49" t="s">
        <v>1719</v>
      </c>
      <c r="B38" s="49" t="s">
        <v>268</v>
      </c>
      <c r="C38" s="49" t="s">
        <v>47</v>
      </c>
      <c r="D38" s="49" t="s">
        <v>1690</v>
      </c>
      <c r="E38" s="49" t="s">
        <v>141</v>
      </c>
      <c r="F38" s="49" t="s">
        <v>1550</v>
      </c>
      <c r="G38" s="49" t="s">
        <v>1551</v>
      </c>
      <c r="H38" s="49" t="s">
        <v>1439</v>
      </c>
      <c r="I38" s="49" t="s">
        <v>1405</v>
      </c>
      <c r="J38" s="56" t="s">
        <v>1405</v>
      </c>
      <c r="K38" s="49" t="s">
        <v>23</v>
      </c>
      <c r="L38" s="50">
        <v>1</v>
      </c>
      <c r="M38" s="51">
        <v>60</v>
      </c>
      <c r="N38" s="52">
        <f t="shared" si="0"/>
        <v>1</v>
      </c>
      <c r="O38" s="53">
        <v>25</v>
      </c>
      <c r="P38" s="54">
        <f t="shared" si="1"/>
        <v>25</v>
      </c>
      <c r="Q38" s="49" t="s">
        <v>1441</v>
      </c>
      <c r="R38" s="49" t="s">
        <v>466</v>
      </c>
      <c r="S38" s="49" t="s">
        <v>1385</v>
      </c>
      <c r="T38" s="49" t="s">
        <v>1386</v>
      </c>
      <c r="U38" s="49" t="s">
        <v>1552</v>
      </c>
      <c r="V38" s="49" t="s">
        <v>1720</v>
      </c>
      <c r="W38" s="49" t="s">
        <v>1444</v>
      </c>
      <c r="X38" s="49" t="s">
        <v>1721</v>
      </c>
      <c r="Y38" s="49" t="s">
        <v>1446</v>
      </c>
      <c r="Z38" s="49" t="s">
        <v>905</v>
      </c>
      <c r="AA38" s="49" t="s">
        <v>1390</v>
      </c>
    </row>
    <row r="39" spans="1:27" ht="52" customHeight="1">
      <c r="A39" s="49" t="s">
        <v>322</v>
      </c>
      <c r="B39" s="49" t="s">
        <v>268</v>
      </c>
      <c r="C39" s="49" t="s">
        <v>47</v>
      </c>
      <c r="D39" s="49" t="s">
        <v>55</v>
      </c>
      <c r="E39" s="49" t="s">
        <v>216</v>
      </c>
      <c r="F39" s="49" t="s">
        <v>324</v>
      </c>
      <c r="G39" s="49" t="s">
        <v>323</v>
      </c>
      <c r="H39" s="49" t="s">
        <v>1653</v>
      </c>
      <c r="I39" s="49" t="s">
        <v>1383</v>
      </c>
      <c r="J39" s="49" t="s">
        <v>1383</v>
      </c>
      <c r="K39" s="49" t="s">
        <v>219</v>
      </c>
      <c r="L39" s="50">
        <v>1</v>
      </c>
      <c r="M39" s="51">
        <v>120</v>
      </c>
      <c r="N39" s="52">
        <f t="shared" si="0"/>
        <v>2</v>
      </c>
      <c r="O39" s="53">
        <v>25</v>
      </c>
      <c r="P39" s="54">
        <f t="shared" si="1"/>
        <v>50</v>
      </c>
      <c r="Q39" s="49" t="s">
        <v>1391</v>
      </c>
      <c r="R39" s="49" t="s">
        <v>466</v>
      </c>
      <c r="S39" s="49" t="s">
        <v>1385</v>
      </c>
      <c r="T39" s="49" t="s">
        <v>1386</v>
      </c>
      <c r="U39" s="49" t="s">
        <v>1722</v>
      </c>
      <c r="V39" s="49" t="s">
        <v>300</v>
      </c>
      <c r="W39" s="49" t="s">
        <v>326</v>
      </c>
      <c r="X39" s="49" t="s">
        <v>325</v>
      </c>
      <c r="Y39" s="49"/>
      <c r="Z39" s="49" t="s">
        <v>1389</v>
      </c>
      <c r="AA39" s="49" t="s">
        <v>1390</v>
      </c>
    </row>
    <row r="40" spans="1:27" ht="52" customHeight="1">
      <c r="A40" s="49" t="s">
        <v>327</v>
      </c>
      <c r="B40" s="49" t="s">
        <v>268</v>
      </c>
      <c r="C40" s="49" t="s">
        <v>47</v>
      </c>
      <c r="D40" s="49" t="s">
        <v>48</v>
      </c>
      <c r="E40" s="49" t="s">
        <v>141</v>
      </c>
      <c r="F40" s="49" t="s">
        <v>143</v>
      </c>
      <c r="G40" s="49" t="s">
        <v>142</v>
      </c>
      <c r="H40" s="49" t="s">
        <v>1653</v>
      </c>
      <c r="I40" s="49" t="s">
        <v>1383</v>
      </c>
      <c r="J40" s="49" t="s">
        <v>1383</v>
      </c>
      <c r="K40" s="49" t="s">
        <v>23</v>
      </c>
      <c r="L40" s="50">
        <v>1</v>
      </c>
      <c r="M40" s="51">
        <v>30</v>
      </c>
      <c r="N40" s="52">
        <f t="shared" si="0"/>
        <v>0.5</v>
      </c>
      <c r="O40" s="53">
        <v>30</v>
      </c>
      <c r="P40" s="54">
        <f t="shared" si="1"/>
        <v>15</v>
      </c>
      <c r="Q40" s="49" t="s">
        <v>1693</v>
      </c>
      <c r="R40" s="49" t="s">
        <v>466</v>
      </c>
      <c r="S40" s="49" t="s">
        <v>1694</v>
      </c>
      <c r="T40" s="49" t="s">
        <v>1695</v>
      </c>
      <c r="U40" s="49" t="s">
        <v>1504</v>
      </c>
      <c r="V40" s="49" t="s">
        <v>279</v>
      </c>
      <c r="W40" s="49" t="s">
        <v>329</v>
      </c>
      <c r="X40" s="49" t="s">
        <v>328</v>
      </c>
      <c r="Y40" s="49"/>
      <c r="Z40" s="49" t="s">
        <v>1570</v>
      </c>
      <c r="AA40" s="49" t="s">
        <v>1390</v>
      </c>
    </row>
    <row r="41" spans="1:27" ht="52" customHeight="1">
      <c r="A41" s="49" t="s">
        <v>330</v>
      </c>
      <c r="B41" s="49" t="s">
        <v>268</v>
      </c>
      <c r="C41" s="49" t="s">
        <v>47</v>
      </c>
      <c r="D41" s="49" t="s">
        <v>48</v>
      </c>
      <c r="E41" s="49" t="s">
        <v>141</v>
      </c>
      <c r="F41" s="49" t="s">
        <v>148</v>
      </c>
      <c r="G41" s="49" t="s">
        <v>147</v>
      </c>
      <c r="H41" s="49" t="s">
        <v>1653</v>
      </c>
      <c r="I41" s="49" t="s">
        <v>1383</v>
      </c>
      <c r="J41" s="49" t="s">
        <v>1383</v>
      </c>
      <c r="K41" s="49" t="s">
        <v>23</v>
      </c>
      <c r="L41" s="50">
        <v>1</v>
      </c>
      <c r="M41" s="51">
        <v>90</v>
      </c>
      <c r="N41" s="52">
        <f t="shared" si="0"/>
        <v>1.5</v>
      </c>
      <c r="O41" s="53">
        <v>30</v>
      </c>
      <c r="P41" s="54">
        <f t="shared" si="1"/>
        <v>45</v>
      </c>
      <c r="Q41" s="49" t="s">
        <v>1693</v>
      </c>
      <c r="R41" s="49" t="s">
        <v>466</v>
      </c>
      <c r="S41" s="49" t="s">
        <v>1694</v>
      </c>
      <c r="T41" s="49" t="s">
        <v>1695</v>
      </c>
      <c r="U41" s="49" t="s">
        <v>1504</v>
      </c>
      <c r="V41" s="49" t="s">
        <v>279</v>
      </c>
      <c r="W41" s="49" t="s">
        <v>332</v>
      </c>
      <c r="X41" s="49" t="s">
        <v>331</v>
      </c>
      <c r="Y41" s="49"/>
      <c r="Z41" s="49" t="s">
        <v>1571</v>
      </c>
      <c r="AA41" s="49" t="s">
        <v>1390</v>
      </c>
    </row>
    <row r="42" spans="1:27" ht="52" customHeight="1">
      <c r="A42" s="49" t="s">
        <v>333</v>
      </c>
      <c r="B42" s="49" t="s">
        <v>268</v>
      </c>
      <c r="C42" s="49" t="s">
        <v>47</v>
      </c>
      <c r="D42" s="49" t="s">
        <v>48</v>
      </c>
      <c r="E42" s="49" t="s">
        <v>141</v>
      </c>
      <c r="F42" s="49" t="s">
        <v>153</v>
      </c>
      <c r="G42" s="49" t="s">
        <v>152</v>
      </c>
      <c r="H42" s="49" t="s">
        <v>1653</v>
      </c>
      <c r="I42" s="49" t="s">
        <v>1383</v>
      </c>
      <c r="J42" s="49" t="s">
        <v>1383</v>
      </c>
      <c r="K42" s="49" t="s">
        <v>23</v>
      </c>
      <c r="L42" s="50">
        <v>1</v>
      </c>
      <c r="M42" s="51">
        <v>30</v>
      </c>
      <c r="N42" s="52">
        <f t="shared" si="0"/>
        <v>0.5</v>
      </c>
      <c r="O42" s="53">
        <v>30</v>
      </c>
      <c r="P42" s="54">
        <f t="shared" si="1"/>
        <v>15</v>
      </c>
      <c r="Q42" s="49" t="s">
        <v>1693</v>
      </c>
      <c r="R42" s="49" t="s">
        <v>466</v>
      </c>
      <c r="S42" s="49" t="s">
        <v>1694</v>
      </c>
      <c r="T42" s="49" t="s">
        <v>1695</v>
      </c>
      <c r="U42" s="49" t="s">
        <v>1504</v>
      </c>
      <c r="V42" s="49" t="s">
        <v>279</v>
      </c>
      <c r="W42" s="49" t="s">
        <v>334</v>
      </c>
      <c r="X42" s="49" t="s">
        <v>328</v>
      </c>
      <c r="Y42" s="49"/>
      <c r="Z42" s="49" t="s">
        <v>1572</v>
      </c>
      <c r="AA42" s="49" t="s">
        <v>1390</v>
      </c>
    </row>
    <row r="43" spans="1:27" ht="52" customHeight="1">
      <c r="A43" s="49" t="s">
        <v>335</v>
      </c>
      <c r="B43" s="49" t="s">
        <v>268</v>
      </c>
      <c r="C43" s="49" t="s">
        <v>47</v>
      </c>
      <c r="D43" s="49" t="s">
        <v>48</v>
      </c>
      <c r="E43" s="49" t="s">
        <v>156</v>
      </c>
      <c r="F43" s="49" t="s">
        <v>337</v>
      </c>
      <c r="G43" s="49" t="s">
        <v>336</v>
      </c>
      <c r="H43" s="49" t="s">
        <v>1653</v>
      </c>
      <c r="I43" s="49" t="s">
        <v>1383</v>
      </c>
      <c r="J43" s="49" t="s">
        <v>1383</v>
      </c>
      <c r="K43" s="49" t="s">
        <v>159</v>
      </c>
      <c r="L43" s="50">
        <v>1</v>
      </c>
      <c r="M43" s="51">
        <v>240</v>
      </c>
      <c r="N43" s="52">
        <f t="shared" si="0"/>
        <v>4</v>
      </c>
      <c r="O43" s="53">
        <v>30</v>
      </c>
      <c r="P43" s="54">
        <f t="shared" si="1"/>
        <v>120</v>
      </c>
      <c r="Q43" s="49" t="s">
        <v>1573</v>
      </c>
      <c r="R43" s="49" t="s">
        <v>466</v>
      </c>
      <c r="S43" s="49" t="s">
        <v>1723</v>
      </c>
      <c r="T43" s="49" t="s">
        <v>1724</v>
      </c>
      <c r="U43" s="49" t="s">
        <v>1725</v>
      </c>
      <c r="V43" s="49" t="s">
        <v>338</v>
      </c>
      <c r="W43" s="49" t="s">
        <v>340</v>
      </c>
      <c r="X43" s="49" t="s">
        <v>339</v>
      </c>
      <c r="Y43" s="49"/>
      <c r="Z43" s="49" t="s">
        <v>1575</v>
      </c>
      <c r="AA43" s="49" t="s">
        <v>1390</v>
      </c>
    </row>
    <row r="44" spans="1:27" ht="52" customHeight="1">
      <c r="A44" s="49" t="s">
        <v>341</v>
      </c>
      <c r="B44" s="49" t="s">
        <v>268</v>
      </c>
      <c r="C44" s="49" t="s">
        <v>163</v>
      </c>
      <c r="D44" s="49" t="s">
        <v>164</v>
      </c>
      <c r="E44" s="49" t="s">
        <v>165</v>
      </c>
      <c r="F44" s="49" t="s">
        <v>343</v>
      </c>
      <c r="G44" s="49" t="s">
        <v>342</v>
      </c>
      <c r="H44" s="49" t="s">
        <v>1653</v>
      </c>
      <c r="I44" s="49" t="s">
        <v>1383</v>
      </c>
      <c r="J44" s="49" t="s">
        <v>1383</v>
      </c>
      <c r="K44" s="49" t="s">
        <v>23</v>
      </c>
      <c r="L44" s="50">
        <v>1</v>
      </c>
      <c r="M44" s="51">
        <v>240</v>
      </c>
      <c r="N44" s="52">
        <f t="shared" si="0"/>
        <v>4</v>
      </c>
      <c r="O44" s="53">
        <v>30</v>
      </c>
      <c r="P44" s="54">
        <f t="shared" si="1"/>
        <v>120</v>
      </c>
      <c r="Q44" s="49" t="s">
        <v>1693</v>
      </c>
      <c r="R44" s="49" t="s">
        <v>466</v>
      </c>
      <c r="S44" s="49" t="s">
        <v>1694</v>
      </c>
      <c r="T44" s="49" t="s">
        <v>1695</v>
      </c>
      <c r="U44" s="49" t="s">
        <v>1504</v>
      </c>
      <c r="V44" s="49" t="s">
        <v>279</v>
      </c>
      <c r="W44" s="49" t="s">
        <v>345</v>
      </c>
      <c r="X44" s="49" t="s">
        <v>344</v>
      </c>
      <c r="Y44" s="49"/>
      <c r="Z44" s="49" t="s">
        <v>1576</v>
      </c>
      <c r="AA44" s="49" t="s">
        <v>1577</v>
      </c>
    </row>
    <row r="45" spans="1:27" ht="52" customHeight="1">
      <c r="A45" s="49" t="s">
        <v>346</v>
      </c>
      <c r="B45" s="49" t="s">
        <v>268</v>
      </c>
      <c r="C45" s="49" t="s">
        <v>163</v>
      </c>
      <c r="D45" s="49" t="s">
        <v>164</v>
      </c>
      <c r="E45" s="49" t="s">
        <v>28</v>
      </c>
      <c r="F45" s="49" t="s">
        <v>348</v>
      </c>
      <c r="G45" s="49" t="s">
        <v>347</v>
      </c>
      <c r="H45" s="49" t="s">
        <v>1653</v>
      </c>
      <c r="I45" s="49" t="s">
        <v>1383</v>
      </c>
      <c r="J45" s="49" t="s">
        <v>1383</v>
      </c>
      <c r="K45" s="49" t="s">
        <v>1726</v>
      </c>
      <c r="L45" s="50">
        <v>1</v>
      </c>
      <c r="M45" s="51">
        <v>240</v>
      </c>
      <c r="N45" s="52">
        <f t="shared" si="0"/>
        <v>4</v>
      </c>
      <c r="O45" s="53">
        <v>30</v>
      </c>
      <c r="P45" s="54">
        <f t="shared" si="1"/>
        <v>120</v>
      </c>
      <c r="Q45" s="49" t="s">
        <v>1693</v>
      </c>
      <c r="R45" s="49" t="s">
        <v>466</v>
      </c>
      <c r="S45" s="49" t="s">
        <v>1694</v>
      </c>
      <c r="T45" s="49" t="s">
        <v>1695</v>
      </c>
      <c r="U45" s="49" t="s">
        <v>1727</v>
      </c>
      <c r="V45" s="49" t="s">
        <v>349</v>
      </c>
      <c r="W45" s="49" t="s">
        <v>351</v>
      </c>
      <c r="X45" s="49" t="s">
        <v>350</v>
      </c>
      <c r="Y45" s="49" t="s">
        <v>1728</v>
      </c>
      <c r="Z45" s="49" t="s">
        <v>1389</v>
      </c>
      <c r="AA45" s="49" t="s">
        <v>1577</v>
      </c>
    </row>
    <row r="46" spans="1:27" ht="108" customHeight="1">
      <c r="A46" s="49" t="s">
        <v>1729</v>
      </c>
      <c r="B46" s="49" t="s">
        <v>268</v>
      </c>
      <c r="C46" s="49" t="s">
        <v>163</v>
      </c>
      <c r="D46" s="49" t="s">
        <v>164</v>
      </c>
      <c r="E46" s="49" t="s">
        <v>28</v>
      </c>
      <c r="F46" s="49" t="s">
        <v>1584</v>
      </c>
      <c r="G46" s="49" t="s">
        <v>1585</v>
      </c>
      <c r="H46" s="49" t="s">
        <v>1586</v>
      </c>
      <c r="I46" s="49" t="s">
        <v>1405</v>
      </c>
      <c r="J46" s="56" t="s">
        <v>1405</v>
      </c>
      <c r="K46" s="49" t="s">
        <v>23</v>
      </c>
      <c r="L46" s="50">
        <v>1</v>
      </c>
      <c r="M46" s="51">
        <v>120</v>
      </c>
      <c r="N46" s="52">
        <f t="shared" si="0"/>
        <v>2</v>
      </c>
      <c r="O46" s="53">
        <v>30</v>
      </c>
      <c r="P46" s="54">
        <f t="shared" si="1"/>
        <v>60</v>
      </c>
      <c r="Q46" s="49" t="s">
        <v>1587</v>
      </c>
      <c r="R46" s="49" t="s">
        <v>466</v>
      </c>
      <c r="S46" s="49" t="s">
        <v>1694</v>
      </c>
      <c r="T46" s="49" t="s">
        <v>1709</v>
      </c>
      <c r="U46" s="49" t="s">
        <v>1398</v>
      </c>
      <c r="V46" s="49" t="s">
        <v>279</v>
      </c>
      <c r="W46" s="49" t="s">
        <v>1730</v>
      </c>
      <c r="X46" s="49" t="s">
        <v>1731</v>
      </c>
      <c r="Y46" s="49" t="s">
        <v>1590</v>
      </c>
      <c r="Z46" s="49" t="s">
        <v>871</v>
      </c>
      <c r="AA46" s="49" t="s">
        <v>1577</v>
      </c>
    </row>
    <row r="47" spans="1:27" ht="52" customHeight="1">
      <c r="A47" s="57" t="s">
        <v>1732</v>
      </c>
      <c r="B47" s="57" t="s">
        <v>268</v>
      </c>
      <c r="C47" s="57" t="s">
        <v>163</v>
      </c>
      <c r="D47" s="57" t="s">
        <v>164</v>
      </c>
      <c r="E47" s="57" t="s">
        <v>79</v>
      </c>
      <c r="F47" s="57" t="s">
        <v>1733</v>
      </c>
      <c r="G47" s="57" t="s">
        <v>1734</v>
      </c>
      <c r="H47" s="57" t="s">
        <v>1586</v>
      </c>
      <c r="I47" s="57" t="s">
        <v>1405</v>
      </c>
      <c r="J47" s="58" t="s">
        <v>1405</v>
      </c>
      <c r="K47" s="57" t="s">
        <v>23</v>
      </c>
      <c r="L47" s="59">
        <v>1</v>
      </c>
      <c r="M47" s="60">
        <v>240</v>
      </c>
      <c r="N47" s="61">
        <f t="shared" si="0"/>
        <v>4</v>
      </c>
      <c r="O47" s="62">
        <v>30</v>
      </c>
      <c r="P47" s="63">
        <f t="shared" si="1"/>
        <v>120</v>
      </c>
      <c r="Q47" s="57" t="s">
        <v>1587</v>
      </c>
      <c r="R47" s="57" t="s">
        <v>466</v>
      </c>
      <c r="S47" s="57" t="s">
        <v>1385</v>
      </c>
      <c r="T47" s="57" t="s">
        <v>1386</v>
      </c>
      <c r="U47" s="57" t="s">
        <v>1735</v>
      </c>
      <c r="V47" s="57" t="s">
        <v>1736</v>
      </c>
      <c r="W47" s="57" t="s">
        <v>1737</v>
      </c>
      <c r="X47" s="57" t="s">
        <v>1738</v>
      </c>
      <c r="Y47" s="57" t="s">
        <v>1739</v>
      </c>
      <c r="Z47" s="57" t="s">
        <v>893</v>
      </c>
      <c r="AA47" s="57" t="s">
        <v>1577</v>
      </c>
    </row>
    <row r="48" spans="1:27" ht="52" customHeight="1">
      <c r="A48" s="34" t="s">
        <v>352</v>
      </c>
      <c r="B48" s="34" t="s">
        <v>268</v>
      </c>
      <c r="C48" s="34" t="s">
        <v>47</v>
      </c>
      <c r="D48" s="34" t="s">
        <v>48</v>
      </c>
      <c r="E48" s="34" t="s">
        <v>180</v>
      </c>
      <c r="F48" s="34" t="s">
        <v>354</v>
      </c>
      <c r="G48" s="34" t="s">
        <v>353</v>
      </c>
      <c r="H48" s="34" t="s">
        <v>1740</v>
      </c>
      <c r="I48" s="34" t="s">
        <v>1383</v>
      </c>
      <c r="J48" s="34" t="s">
        <v>1383</v>
      </c>
      <c r="K48" s="34" t="s">
        <v>355</v>
      </c>
      <c r="L48" s="64">
        <v>1</v>
      </c>
      <c r="M48" s="64">
        <v>15</v>
      </c>
      <c r="N48" s="65">
        <f t="shared" ref="N48:N66" si="2">IF(OR(L48="",M48=""),"",L48*M48/60)</f>
        <v>0.25</v>
      </c>
      <c r="O48" s="64">
        <v>30</v>
      </c>
      <c r="P48" s="65">
        <f t="shared" ref="P48:P66" si="3">IF(OR(N48="",O48=""),"",N48*O48)</f>
        <v>7.5</v>
      </c>
      <c r="Q48" s="34" t="s">
        <v>1613</v>
      </c>
      <c r="R48" s="34" t="s">
        <v>1614</v>
      </c>
      <c r="S48" s="34" t="s">
        <v>1615</v>
      </c>
      <c r="T48" s="34" t="s">
        <v>1741</v>
      </c>
      <c r="U48" s="34" t="s">
        <v>1742</v>
      </c>
      <c r="V48" s="34" t="s">
        <v>310</v>
      </c>
      <c r="W48" s="34" t="s">
        <v>357</v>
      </c>
      <c r="X48" s="34" t="s">
        <v>356</v>
      </c>
      <c r="Y48" s="34" t="s">
        <v>1617</v>
      </c>
      <c r="Z48" s="34"/>
      <c r="AA48" s="34" t="s">
        <v>1619</v>
      </c>
    </row>
    <row r="49" spans="1:27" ht="52" customHeight="1">
      <c r="A49" s="34" t="s">
        <v>358</v>
      </c>
      <c r="B49" s="34" t="s">
        <v>268</v>
      </c>
      <c r="C49" s="34" t="s">
        <v>47</v>
      </c>
      <c r="D49" s="34" t="s">
        <v>48</v>
      </c>
      <c r="E49" s="34" t="s">
        <v>188</v>
      </c>
      <c r="F49" s="34" t="s">
        <v>360</v>
      </c>
      <c r="G49" s="34" t="s">
        <v>359</v>
      </c>
      <c r="H49" s="34" t="s">
        <v>1740</v>
      </c>
      <c r="I49" s="34" t="s">
        <v>1383</v>
      </c>
      <c r="J49" s="34" t="s">
        <v>1383</v>
      </c>
      <c r="K49" s="34" t="s">
        <v>361</v>
      </c>
      <c r="L49" s="64">
        <v>1</v>
      </c>
      <c r="M49" s="64">
        <v>30</v>
      </c>
      <c r="N49" s="65">
        <f t="shared" si="2"/>
        <v>0.5</v>
      </c>
      <c r="O49" s="64">
        <v>30</v>
      </c>
      <c r="P49" s="65">
        <f t="shared" si="3"/>
        <v>15</v>
      </c>
      <c r="Q49" s="34" t="s">
        <v>1613</v>
      </c>
      <c r="R49" s="34" t="s">
        <v>1614</v>
      </c>
      <c r="S49" s="34" t="s">
        <v>1615</v>
      </c>
      <c r="T49" s="34" t="s">
        <v>1741</v>
      </c>
      <c r="U49" s="34" t="s">
        <v>1743</v>
      </c>
      <c r="V49" s="34" t="s">
        <v>362</v>
      </c>
      <c r="W49" s="34" t="s">
        <v>364</v>
      </c>
      <c r="X49" s="34" t="s">
        <v>363</v>
      </c>
      <c r="Y49" s="34" t="s">
        <v>1617</v>
      </c>
      <c r="Z49" s="34"/>
      <c r="AA49" s="34" t="s">
        <v>1619</v>
      </c>
    </row>
    <row r="50" spans="1:27" ht="52" customHeight="1">
      <c r="A50" s="34" t="s">
        <v>365</v>
      </c>
      <c r="B50" s="34" t="s">
        <v>268</v>
      </c>
      <c r="C50" s="34" t="s">
        <v>47</v>
      </c>
      <c r="D50" s="34" t="s">
        <v>48</v>
      </c>
      <c r="E50" s="34" t="s">
        <v>188</v>
      </c>
      <c r="F50" s="34" t="s">
        <v>367</v>
      </c>
      <c r="G50" s="34" t="s">
        <v>366</v>
      </c>
      <c r="H50" s="34" t="s">
        <v>1740</v>
      </c>
      <c r="I50" s="34" t="s">
        <v>1383</v>
      </c>
      <c r="J50" s="34" t="s">
        <v>1383</v>
      </c>
      <c r="K50" s="34" t="s">
        <v>175</v>
      </c>
      <c r="L50" s="64">
        <v>1</v>
      </c>
      <c r="M50" s="64">
        <v>60</v>
      </c>
      <c r="N50" s="65">
        <f t="shared" si="2"/>
        <v>1</v>
      </c>
      <c r="O50" s="64">
        <v>30</v>
      </c>
      <c r="P50" s="65">
        <f t="shared" si="3"/>
        <v>30</v>
      </c>
      <c r="Q50" s="34" t="s">
        <v>1613</v>
      </c>
      <c r="R50" s="34" t="s">
        <v>1614</v>
      </c>
      <c r="S50" s="34" t="s">
        <v>1615</v>
      </c>
      <c r="T50" s="34" t="s">
        <v>1741</v>
      </c>
      <c r="U50" s="34" t="s">
        <v>1744</v>
      </c>
      <c r="V50" s="34" t="s">
        <v>362</v>
      </c>
      <c r="W50" s="34" t="s">
        <v>369</v>
      </c>
      <c r="X50" s="34" t="s">
        <v>368</v>
      </c>
      <c r="Y50" s="34" t="s">
        <v>1617</v>
      </c>
      <c r="Z50" s="34"/>
      <c r="AA50" s="34" t="s">
        <v>1619</v>
      </c>
    </row>
    <row r="51" spans="1:27" ht="52" customHeight="1">
      <c r="A51" s="34" t="s">
        <v>370</v>
      </c>
      <c r="B51" s="34" t="s">
        <v>268</v>
      </c>
      <c r="C51" s="34" t="s">
        <v>47</v>
      </c>
      <c r="D51" s="34" t="s">
        <v>48</v>
      </c>
      <c r="E51" s="34" t="s">
        <v>79</v>
      </c>
      <c r="F51" s="34" t="s">
        <v>372</v>
      </c>
      <c r="G51" s="34" t="s">
        <v>371</v>
      </c>
      <c r="H51" s="34" t="s">
        <v>1740</v>
      </c>
      <c r="I51" s="34" t="s">
        <v>1383</v>
      </c>
      <c r="J51" s="34" t="s">
        <v>1383</v>
      </c>
      <c r="K51" s="34" t="s">
        <v>175</v>
      </c>
      <c r="L51" s="64">
        <v>1</v>
      </c>
      <c r="M51" s="64">
        <v>30</v>
      </c>
      <c r="N51" s="65">
        <f t="shared" si="2"/>
        <v>0.5</v>
      </c>
      <c r="O51" s="64">
        <v>30</v>
      </c>
      <c r="P51" s="65">
        <f t="shared" si="3"/>
        <v>15</v>
      </c>
      <c r="Q51" s="34" t="s">
        <v>1613</v>
      </c>
      <c r="R51" s="34" t="s">
        <v>1614</v>
      </c>
      <c r="S51" s="34" t="s">
        <v>1615</v>
      </c>
      <c r="T51" s="34" t="s">
        <v>1741</v>
      </c>
      <c r="U51" s="34" t="s">
        <v>1745</v>
      </c>
      <c r="V51" s="34" t="s">
        <v>373</v>
      </c>
      <c r="W51" s="34" t="s">
        <v>375</v>
      </c>
      <c r="X51" s="34" t="s">
        <v>374</v>
      </c>
      <c r="Y51" s="34" t="s">
        <v>1617</v>
      </c>
      <c r="Z51" s="34"/>
      <c r="AA51" s="34" t="s">
        <v>1619</v>
      </c>
    </row>
    <row r="52" spans="1:27" ht="52" customHeight="1">
      <c r="A52" s="34" t="s">
        <v>376</v>
      </c>
      <c r="B52" s="34" t="s">
        <v>268</v>
      </c>
      <c r="C52" s="34" t="s">
        <v>47</v>
      </c>
      <c r="D52" s="34" t="s">
        <v>48</v>
      </c>
      <c r="E52" s="34" t="s">
        <v>180</v>
      </c>
      <c r="F52" s="34" t="s">
        <v>378</v>
      </c>
      <c r="G52" s="34" t="s">
        <v>377</v>
      </c>
      <c r="H52" s="34" t="s">
        <v>1740</v>
      </c>
      <c r="I52" s="34" t="s">
        <v>1383</v>
      </c>
      <c r="J52" s="34" t="s">
        <v>1383</v>
      </c>
      <c r="K52" s="34" t="s">
        <v>379</v>
      </c>
      <c r="L52" s="64">
        <v>1</v>
      </c>
      <c r="M52" s="64">
        <v>30</v>
      </c>
      <c r="N52" s="65">
        <f t="shared" si="2"/>
        <v>0.5</v>
      </c>
      <c r="O52" s="64">
        <v>30</v>
      </c>
      <c r="P52" s="65">
        <f t="shared" si="3"/>
        <v>15</v>
      </c>
      <c r="Q52" s="34" t="s">
        <v>1613</v>
      </c>
      <c r="R52" s="34" t="s">
        <v>1614</v>
      </c>
      <c r="S52" s="34" t="s">
        <v>1615</v>
      </c>
      <c r="T52" s="34" t="s">
        <v>1741</v>
      </c>
      <c r="U52" s="34" t="s">
        <v>1746</v>
      </c>
      <c r="V52" s="34" t="s">
        <v>373</v>
      </c>
      <c r="W52" s="34" t="s">
        <v>381</v>
      </c>
      <c r="X52" s="34" t="s">
        <v>380</v>
      </c>
      <c r="Y52" s="34" t="s">
        <v>1617</v>
      </c>
      <c r="Z52" s="34"/>
      <c r="AA52" s="34" t="s">
        <v>1619</v>
      </c>
    </row>
    <row r="53" spans="1:27" ht="52" customHeight="1">
      <c r="A53" s="34" t="s">
        <v>382</v>
      </c>
      <c r="B53" s="34" t="s">
        <v>268</v>
      </c>
      <c r="C53" s="34" t="s">
        <v>47</v>
      </c>
      <c r="D53" s="34" t="s">
        <v>48</v>
      </c>
      <c r="E53" s="34" t="s">
        <v>141</v>
      </c>
      <c r="F53" s="34" t="s">
        <v>384</v>
      </c>
      <c r="G53" s="34" t="s">
        <v>383</v>
      </c>
      <c r="H53" s="34" t="s">
        <v>1740</v>
      </c>
      <c r="I53" s="34" t="s">
        <v>1383</v>
      </c>
      <c r="J53" s="34" t="s">
        <v>1383</v>
      </c>
      <c r="K53" s="34" t="s">
        <v>133</v>
      </c>
      <c r="L53" s="64">
        <v>1</v>
      </c>
      <c r="M53" s="64">
        <v>30</v>
      </c>
      <c r="N53" s="65">
        <f t="shared" si="2"/>
        <v>0.5</v>
      </c>
      <c r="O53" s="64">
        <v>30</v>
      </c>
      <c r="P53" s="65">
        <f t="shared" si="3"/>
        <v>15</v>
      </c>
      <c r="Q53" s="34" t="s">
        <v>1613</v>
      </c>
      <c r="R53" s="34" t="s">
        <v>1614</v>
      </c>
      <c r="S53" s="34" t="s">
        <v>1615</v>
      </c>
      <c r="T53" s="34" t="s">
        <v>1741</v>
      </c>
      <c r="U53" s="34" t="s">
        <v>1747</v>
      </c>
      <c r="V53" s="34" t="s">
        <v>310</v>
      </c>
      <c r="W53" s="34" t="s">
        <v>386</v>
      </c>
      <c r="X53" s="34" t="s">
        <v>385</v>
      </c>
      <c r="Y53" s="34" t="s">
        <v>1617</v>
      </c>
      <c r="Z53" s="34"/>
      <c r="AA53" s="34" t="s">
        <v>1619</v>
      </c>
    </row>
    <row r="54" spans="1:27" ht="84.9">
      <c r="A54" s="33" t="s">
        <v>387</v>
      </c>
      <c r="B54" s="33" t="s">
        <v>268</v>
      </c>
      <c r="C54" s="33" t="s">
        <v>18</v>
      </c>
      <c r="D54" s="33" t="s">
        <v>19</v>
      </c>
      <c r="E54" s="33" t="s">
        <v>172</v>
      </c>
      <c r="F54" s="33" t="s">
        <v>389</v>
      </c>
      <c r="G54" s="33" t="s">
        <v>388</v>
      </c>
      <c r="H54" s="33" t="s">
        <v>1748</v>
      </c>
      <c r="I54" s="33" t="s">
        <v>1383</v>
      </c>
      <c r="J54" s="33" t="s">
        <v>1383</v>
      </c>
      <c r="K54" s="33" t="s">
        <v>175</v>
      </c>
      <c r="L54" s="33">
        <v>1</v>
      </c>
      <c r="M54" s="33">
        <v>30</v>
      </c>
      <c r="N54" s="33">
        <f t="shared" si="2"/>
        <v>0.5</v>
      </c>
      <c r="O54" s="33">
        <v>50</v>
      </c>
      <c r="P54" s="33">
        <f t="shared" si="3"/>
        <v>25</v>
      </c>
      <c r="Q54" s="33" t="s">
        <v>1637</v>
      </c>
      <c r="R54" s="33" t="s">
        <v>1614</v>
      </c>
      <c r="S54" s="33" t="s">
        <v>1615</v>
      </c>
      <c r="T54" s="33" t="s">
        <v>1741</v>
      </c>
      <c r="U54" s="33" t="s">
        <v>1749</v>
      </c>
      <c r="V54" s="33" t="s">
        <v>279</v>
      </c>
      <c r="W54" s="33" t="s">
        <v>391</v>
      </c>
      <c r="X54" s="33" t="s">
        <v>390</v>
      </c>
      <c r="Y54" s="33" t="s">
        <v>1617</v>
      </c>
      <c r="Z54" s="33" t="s">
        <v>790</v>
      </c>
      <c r="AA54" s="33" t="s">
        <v>1619</v>
      </c>
    </row>
    <row r="55" spans="1:27" ht="84.9">
      <c r="A55" s="33" t="s">
        <v>392</v>
      </c>
      <c r="B55" s="33" t="s">
        <v>268</v>
      </c>
      <c r="C55" s="33" t="s">
        <v>18</v>
      </c>
      <c r="D55" s="33" t="s">
        <v>19</v>
      </c>
      <c r="E55" s="33" t="s">
        <v>130</v>
      </c>
      <c r="F55" s="33" t="s">
        <v>394</v>
      </c>
      <c r="G55" s="33" t="s">
        <v>393</v>
      </c>
      <c r="H55" s="33" t="s">
        <v>1750</v>
      </c>
      <c r="I55" s="33" t="s">
        <v>1383</v>
      </c>
      <c r="J55" s="33" t="s">
        <v>1383</v>
      </c>
      <c r="K55" s="33" t="s">
        <v>133</v>
      </c>
      <c r="L55" s="33">
        <v>1</v>
      </c>
      <c r="M55" s="33">
        <v>15</v>
      </c>
      <c r="N55" s="33">
        <f t="shared" si="2"/>
        <v>0.25</v>
      </c>
      <c r="O55" s="33">
        <v>50</v>
      </c>
      <c r="P55" s="33">
        <f t="shared" si="3"/>
        <v>12.5</v>
      </c>
      <c r="Q55" s="33" t="s">
        <v>1637</v>
      </c>
      <c r="R55" s="33" t="s">
        <v>1614</v>
      </c>
      <c r="S55" s="33" t="s">
        <v>1615</v>
      </c>
      <c r="T55" s="33" t="s">
        <v>1741</v>
      </c>
      <c r="U55" s="33" t="s">
        <v>1751</v>
      </c>
      <c r="V55" s="33" t="s">
        <v>310</v>
      </c>
      <c r="W55" s="33" t="s">
        <v>396</v>
      </c>
      <c r="X55" s="33" t="s">
        <v>395</v>
      </c>
      <c r="Y55" s="33" t="s">
        <v>1617</v>
      </c>
      <c r="Z55" s="33" t="s">
        <v>790</v>
      </c>
      <c r="AA55" s="33" t="s">
        <v>1619</v>
      </c>
    </row>
    <row r="56" spans="1:27" ht="84.9">
      <c r="A56" s="33" t="s">
        <v>397</v>
      </c>
      <c r="B56" s="33" t="s">
        <v>268</v>
      </c>
      <c r="C56" s="33" t="s">
        <v>47</v>
      </c>
      <c r="D56" s="33" t="s">
        <v>48</v>
      </c>
      <c r="E56" s="33" t="s">
        <v>20</v>
      </c>
      <c r="F56" s="33" t="s">
        <v>398</v>
      </c>
      <c r="G56" s="33" t="s">
        <v>235</v>
      </c>
      <c r="H56" s="33" t="s">
        <v>1752</v>
      </c>
      <c r="I56" s="33" t="s">
        <v>1383</v>
      </c>
      <c r="J56" s="33" t="s">
        <v>1383</v>
      </c>
      <c r="K56" s="33" t="s">
        <v>23</v>
      </c>
      <c r="L56" s="33">
        <v>1</v>
      </c>
      <c r="M56" s="33">
        <v>30</v>
      </c>
      <c r="N56" s="33">
        <f t="shared" si="2"/>
        <v>0.5</v>
      </c>
      <c r="O56" s="33">
        <v>50</v>
      </c>
      <c r="P56" s="33">
        <f t="shared" si="3"/>
        <v>25</v>
      </c>
      <c r="Q56" s="33" t="s">
        <v>1637</v>
      </c>
      <c r="R56" s="33" t="s">
        <v>1614</v>
      </c>
      <c r="S56" s="33" t="s">
        <v>1615</v>
      </c>
      <c r="T56" s="33" t="s">
        <v>1753</v>
      </c>
      <c r="U56" s="33" t="s">
        <v>1754</v>
      </c>
      <c r="V56" s="33" t="s">
        <v>279</v>
      </c>
      <c r="W56" s="33" t="s">
        <v>400</v>
      </c>
      <c r="X56" s="33" t="s">
        <v>399</v>
      </c>
      <c r="Y56" s="33" t="s">
        <v>1617</v>
      </c>
      <c r="Z56" s="33" t="s">
        <v>790</v>
      </c>
      <c r="AA56" s="33" t="s">
        <v>1619</v>
      </c>
    </row>
    <row r="57" spans="1:27" ht="84.9">
      <c r="A57" s="33" t="s">
        <v>401</v>
      </c>
      <c r="B57" s="33" t="s">
        <v>268</v>
      </c>
      <c r="C57" s="33" t="s">
        <v>47</v>
      </c>
      <c r="D57" s="33" t="s">
        <v>48</v>
      </c>
      <c r="E57" s="33" t="s">
        <v>156</v>
      </c>
      <c r="F57" s="33" t="s">
        <v>403</v>
      </c>
      <c r="G57" s="33" t="s">
        <v>402</v>
      </c>
      <c r="H57" s="33" t="s">
        <v>1755</v>
      </c>
      <c r="I57" s="33" t="s">
        <v>1383</v>
      </c>
      <c r="J57" s="33" t="s">
        <v>1383</v>
      </c>
      <c r="K57" s="33" t="s">
        <v>175</v>
      </c>
      <c r="L57" s="33">
        <v>1</v>
      </c>
      <c r="M57" s="33">
        <v>60</v>
      </c>
      <c r="N57" s="33">
        <f t="shared" si="2"/>
        <v>1</v>
      </c>
      <c r="O57" s="33">
        <v>30</v>
      </c>
      <c r="P57" s="33">
        <f t="shared" si="3"/>
        <v>30</v>
      </c>
      <c r="Q57" s="33" t="s">
        <v>1637</v>
      </c>
      <c r="R57" s="33" t="s">
        <v>1614</v>
      </c>
      <c r="S57" s="33" t="s">
        <v>1615</v>
      </c>
      <c r="T57" s="33" t="s">
        <v>1741</v>
      </c>
      <c r="U57" s="33" t="s">
        <v>1756</v>
      </c>
      <c r="V57" s="33" t="s">
        <v>310</v>
      </c>
      <c r="W57" s="33" t="s">
        <v>405</v>
      </c>
      <c r="X57" s="33" t="s">
        <v>404</v>
      </c>
      <c r="Y57" s="33" t="s">
        <v>1617</v>
      </c>
      <c r="Z57" s="33" t="s">
        <v>790</v>
      </c>
      <c r="AA57" s="33" t="s">
        <v>1619</v>
      </c>
    </row>
    <row r="58" spans="1:27" ht="84.9">
      <c r="A58" s="33" t="s">
        <v>406</v>
      </c>
      <c r="B58" s="33" t="s">
        <v>268</v>
      </c>
      <c r="C58" s="33" t="s">
        <v>163</v>
      </c>
      <c r="D58" s="33" t="s">
        <v>164</v>
      </c>
      <c r="E58" s="33" t="s">
        <v>165</v>
      </c>
      <c r="F58" s="33" t="s">
        <v>246</v>
      </c>
      <c r="G58" s="33" t="s">
        <v>245</v>
      </c>
      <c r="H58" s="33" t="s">
        <v>1757</v>
      </c>
      <c r="I58" s="33" t="s">
        <v>1383</v>
      </c>
      <c r="J58" s="33" t="s">
        <v>1383</v>
      </c>
      <c r="K58" s="33" t="s">
        <v>175</v>
      </c>
      <c r="L58" s="33">
        <v>1</v>
      </c>
      <c r="M58" s="33">
        <v>30</v>
      </c>
      <c r="N58" s="33">
        <f t="shared" si="2"/>
        <v>0.5</v>
      </c>
      <c r="O58" s="33">
        <v>30</v>
      </c>
      <c r="P58" s="33">
        <f t="shared" si="3"/>
        <v>15</v>
      </c>
      <c r="Q58" s="33" t="s">
        <v>1637</v>
      </c>
      <c r="R58" s="33" t="s">
        <v>1614</v>
      </c>
      <c r="S58" s="33" t="s">
        <v>1615</v>
      </c>
      <c r="T58" s="33" t="s">
        <v>1741</v>
      </c>
      <c r="U58" s="33" t="s">
        <v>1646</v>
      </c>
      <c r="V58" s="33" t="s">
        <v>310</v>
      </c>
      <c r="W58" s="33" t="s">
        <v>408</v>
      </c>
      <c r="X58" s="33" t="s">
        <v>407</v>
      </c>
      <c r="Y58" s="33" t="s">
        <v>1617</v>
      </c>
      <c r="Z58" s="33" t="s">
        <v>790</v>
      </c>
      <c r="AA58" s="33" t="s">
        <v>1619</v>
      </c>
    </row>
    <row r="59" spans="1:27" ht="84.9">
      <c r="A59" s="33" t="s">
        <v>409</v>
      </c>
      <c r="B59" s="33" t="s">
        <v>268</v>
      </c>
      <c r="C59" s="33" t="s">
        <v>163</v>
      </c>
      <c r="D59" s="33" t="s">
        <v>164</v>
      </c>
      <c r="E59" s="33" t="s">
        <v>28</v>
      </c>
      <c r="F59" s="33" t="s">
        <v>410</v>
      </c>
      <c r="G59" s="33" t="s">
        <v>250</v>
      </c>
      <c r="H59" s="33" t="s">
        <v>1647</v>
      </c>
      <c r="I59" s="33" t="s">
        <v>1383</v>
      </c>
      <c r="J59" s="33" t="s">
        <v>1383</v>
      </c>
      <c r="K59" s="33" t="s">
        <v>175</v>
      </c>
      <c r="L59" s="33">
        <v>1</v>
      </c>
      <c r="M59" s="33">
        <v>30</v>
      </c>
      <c r="N59" s="33">
        <f t="shared" si="2"/>
        <v>0.5</v>
      </c>
      <c r="O59" s="33">
        <v>30</v>
      </c>
      <c r="P59" s="33">
        <f t="shared" si="3"/>
        <v>15</v>
      </c>
      <c r="Q59" s="33" t="s">
        <v>1637</v>
      </c>
      <c r="R59" s="33" t="s">
        <v>1614</v>
      </c>
      <c r="S59" s="33" t="s">
        <v>1615</v>
      </c>
      <c r="T59" s="33" t="s">
        <v>1741</v>
      </c>
      <c r="U59" s="33" t="s">
        <v>1758</v>
      </c>
      <c r="V59" s="33" t="s">
        <v>411</v>
      </c>
      <c r="W59" s="33" t="s">
        <v>413</v>
      </c>
      <c r="X59" s="33" t="s">
        <v>412</v>
      </c>
      <c r="Y59" s="33" t="s">
        <v>1617</v>
      </c>
      <c r="Z59" s="33" t="s">
        <v>790</v>
      </c>
      <c r="AA59" s="33" t="s">
        <v>1619</v>
      </c>
    </row>
    <row r="60" spans="1:27" ht="84.9">
      <c r="A60" s="33" t="s">
        <v>414</v>
      </c>
      <c r="B60" s="33" t="s">
        <v>268</v>
      </c>
      <c r="C60" s="33" t="s">
        <v>47</v>
      </c>
      <c r="D60" s="33" t="s">
        <v>48</v>
      </c>
      <c r="E60" s="33" t="s">
        <v>172</v>
      </c>
      <c r="F60" s="33" t="s">
        <v>257</v>
      </c>
      <c r="G60" s="33" t="s">
        <v>256</v>
      </c>
      <c r="H60" s="33" t="s">
        <v>1649</v>
      </c>
      <c r="I60" s="33" t="s">
        <v>1383</v>
      </c>
      <c r="J60" s="33" t="s">
        <v>1383</v>
      </c>
      <c r="K60" s="33" t="s">
        <v>175</v>
      </c>
      <c r="L60" s="33">
        <v>1</v>
      </c>
      <c r="M60" s="33">
        <v>15</v>
      </c>
      <c r="N60" s="33">
        <f t="shared" si="2"/>
        <v>0.25</v>
      </c>
      <c r="O60" s="33">
        <v>30</v>
      </c>
      <c r="P60" s="33">
        <f t="shared" si="3"/>
        <v>7.5</v>
      </c>
      <c r="Q60" s="33" t="s">
        <v>1637</v>
      </c>
      <c r="R60" s="33" t="s">
        <v>1614</v>
      </c>
      <c r="S60" s="33" t="s">
        <v>1615</v>
      </c>
      <c r="T60" s="33" t="s">
        <v>1741</v>
      </c>
      <c r="U60" s="33" t="s">
        <v>1650</v>
      </c>
      <c r="V60" s="33" t="s">
        <v>411</v>
      </c>
      <c r="W60" s="33" t="s">
        <v>413</v>
      </c>
      <c r="X60" s="33" t="s">
        <v>412</v>
      </c>
      <c r="Y60" s="33" t="s">
        <v>1617</v>
      </c>
      <c r="Z60" s="33" t="s">
        <v>790</v>
      </c>
      <c r="AA60" s="33" t="s">
        <v>1619</v>
      </c>
    </row>
    <row r="61" spans="1:27" ht="84.9">
      <c r="A61" s="33" t="s">
        <v>415</v>
      </c>
      <c r="B61" s="33" t="s">
        <v>268</v>
      </c>
      <c r="C61" s="33" t="s">
        <v>260</v>
      </c>
      <c r="D61" s="33" t="s">
        <v>261</v>
      </c>
      <c r="E61" s="33" t="s">
        <v>20</v>
      </c>
      <c r="F61" s="33" t="s">
        <v>417</v>
      </c>
      <c r="G61" s="33" t="s">
        <v>416</v>
      </c>
      <c r="H61" s="33" t="s">
        <v>1759</v>
      </c>
      <c r="I61" s="33" t="s">
        <v>1383</v>
      </c>
      <c r="J61" s="33" t="s">
        <v>1383</v>
      </c>
      <c r="K61" s="33" t="s">
        <v>23</v>
      </c>
      <c r="L61" s="33">
        <v>1</v>
      </c>
      <c r="M61" s="33">
        <v>60</v>
      </c>
      <c r="N61" s="33">
        <f t="shared" si="2"/>
        <v>1</v>
      </c>
      <c r="O61" s="33">
        <v>30</v>
      </c>
      <c r="P61" s="33">
        <f t="shared" si="3"/>
        <v>30</v>
      </c>
      <c r="Q61" s="33" t="s">
        <v>1637</v>
      </c>
      <c r="R61" s="33" t="s">
        <v>1614</v>
      </c>
      <c r="S61" s="33" t="s">
        <v>1615</v>
      </c>
      <c r="T61" s="33" t="s">
        <v>1760</v>
      </c>
      <c r="U61" s="33" t="s">
        <v>1652</v>
      </c>
      <c r="V61" s="33" t="s">
        <v>418</v>
      </c>
      <c r="W61" s="33" t="s">
        <v>59</v>
      </c>
      <c r="X61" s="33" t="s">
        <v>419</v>
      </c>
      <c r="Y61" s="33" t="s">
        <v>1617</v>
      </c>
      <c r="Z61" s="33" t="s">
        <v>1389</v>
      </c>
      <c r="AA61" s="33" t="s">
        <v>1619</v>
      </c>
    </row>
    <row r="62" spans="1:27" ht="84.9">
      <c r="A62" s="33" t="s">
        <v>420</v>
      </c>
      <c r="B62" s="33" t="s">
        <v>268</v>
      </c>
      <c r="C62" s="33" t="s">
        <v>47</v>
      </c>
      <c r="D62" s="33" t="s">
        <v>55</v>
      </c>
      <c r="E62" s="33" t="s">
        <v>216</v>
      </c>
      <c r="F62" s="33" t="s">
        <v>422</v>
      </c>
      <c r="G62" s="33" t="s">
        <v>421</v>
      </c>
      <c r="H62" s="33" t="s">
        <v>1761</v>
      </c>
      <c r="I62" s="33" t="s">
        <v>1383</v>
      </c>
      <c r="J62" s="33" t="s">
        <v>1383</v>
      </c>
      <c r="K62" s="33" t="s">
        <v>292</v>
      </c>
      <c r="L62" s="33">
        <v>1</v>
      </c>
      <c r="M62" s="33">
        <v>30</v>
      </c>
      <c r="N62" s="33">
        <f t="shared" si="2"/>
        <v>0.5</v>
      </c>
      <c r="O62" s="33">
        <v>30</v>
      </c>
      <c r="P62" s="33">
        <f t="shared" si="3"/>
        <v>15</v>
      </c>
      <c r="Q62" s="33" t="s">
        <v>1762</v>
      </c>
      <c r="R62" s="33" t="s">
        <v>1614</v>
      </c>
      <c r="S62" s="33" t="s">
        <v>1763</v>
      </c>
      <c r="T62" s="33" t="s">
        <v>1386</v>
      </c>
      <c r="U62" s="33" t="s">
        <v>1764</v>
      </c>
      <c r="V62" s="33" t="s">
        <v>418</v>
      </c>
      <c r="W62" s="33" t="s">
        <v>424</v>
      </c>
      <c r="X62" s="33" t="s">
        <v>423</v>
      </c>
      <c r="Y62" s="33" t="s">
        <v>1617</v>
      </c>
      <c r="Z62" s="33" t="s">
        <v>1765</v>
      </c>
      <c r="AA62" s="33" t="s">
        <v>1619</v>
      </c>
    </row>
    <row r="63" spans="1:27" ht="141.44999999999999">
      <c r="A63" s="33" t="s">
        <v>425</v>
      </c>
      <c r="B63" s="33" t="s">
        <v>268</v>
      </c>
      <c r="C63" s="33" t="s">
        <v>47</v>
      </c>
      <c r="D63" s="33" t="s">
        <v>55</v>
      </c>
      <c r="E63" s="33" t="s">
        <v>172</v>
      </c>
      <c r="F63" s="33" t="s">
        <v>427</v>
      </c>
      <c r="G63" s="33" t="s">
        <v>426</v>
      </c>
      <c r="H63" s="33" t="s">
        <v>1766</v>
      </c>
      <c r="I63" s="33" t="s">
        <v>1383</v>
      </c>
      <c r="J63" s="33" t="s">
        <v>1383</v>
      </c>
      <c r="K63" s="33" t="s">
        <v>428</v>
      </c>
      <c r="L63" s="33">
        <v>1</v>
      </c>
      <c r="M63" s="33">
        <v>30</v>
      </c>
      <c r="N63" s="33">
        <f t="shared" si="2"/>
        <v>0.5</v>
      </c>
      <c r="O63" s="33">
        <v>30</v>
      </c>
      <c r="P63" s="33">
        <f t="shared" si="3"/>
        <v>15</v>
      </c>
      <c r="Q63" s="33" t="s">
        <v>1762</v>
      </c>
      <c r="R63" s="33" t="s">
        <v>1614</v>
      </c>
      <c r="S63" s="33" t="s">
        <v>1763</v>
      </c>
      <c r="T63" s="33" t="s">
        <v>1386</v>
      </c>
      <c r="U63" s="33" t="s">
        <v>1767</v>
      </c>
      <c r="V63" s="33" t="s">
        <v>429</v>
      </c>
      <c r="W63" s="33" t="s">
        <v>431</v>
      </c>
      <c r="X63" s="33" t="s">
        <v>430</v>
      </c>
      <c r="Y63" s="33" t="s">
        <v>1617</v>
      </c>
      <c r="Z63" s="33" t="s">
        <v>1765</v>
      </c>
      <c r="AA63" s="33" t="s">
        <v>1619</v>
      </c>
    </row>
    <row r="64" spans="1:27" ht="84.9">
      <c r="A64" s="33" t="s">
        <v>432</v>
      </c>
      <c r="B64" s="33" t="s">
        <v>268</v>
      </c>
      <c r="C64" s="33" t="s">
        <v>260</v>
      </c>
      <c r="D64" s="33" t="s">
        <v>261</v>
      </c>
      <c r="E64" s="33" t="s">
        <v>216</v>
      </c>
      <c r="F64" s="33" t="s">
        <v>1768</v>
      </c>
      <c r="G64" s="33" t="s">
        <v>1769</v>
      </c>
      <c r="H64" s="33" t="s">
        <v>1770</v>
      </c>
      <c r="I64" s="33" t="s">
        <v>1383</v>
      </c>
      <c r="J64" s="33" t="s">
        <v>1383</v>
      </c>
      <c r="K64" s="33" t="s">
        <v>1771</v>
      </c>
      <c r="L64" s="33">
        <v>1</v>
      </c>
      <c r="M64" s="33">
        <v>60</v>
      </c>
      <c r="N64" s="33">
        <f t="shared" si="2"/>
        <v>1</v>
      </c>
      <c r="O64" s="33">
        <v>30</v>
      </c>
      <c r="P64" s="33">
        <f t="shared" si="3"/>
        <v>30</v>
      </c>
      <c r="Q64" s="33" t="s">
        <v>1762</v>
      </c>
      <c r="R64" s="33" t="s">
        <v>1614</v>
      </c>
      <c r="S64" s="33" t="s">
        <v>1763</v>
      </c>
      <c r="T64" s="33" t="s">
        <v>1386</v>
      </c>
      <c r="U64" s="33" t="s">
        <v>1772</v>
      </c>
      <c r="V64" s="33" t="s">
        <v>418</v>
      </c>
      <c r="W64" s="33" t="s">
        <v>1773</v>
      </c>
      <c r="X64" s="33" t="s">
        <v>1774</v>
      </c>
      <c r="Y64" s="33" t="s">
        <v>1617</v>
      </c>
      <c r="Z64" s="33" t="s">
        <v>1765</v>
      </c>
      <c r="AA64" s="33" t="s">
        <v>1619</v>
      </c>
    </row>
    <row r="65" spans="1:27" ht="127.3">
      <c r="A65" s="33" t="s">
        <v>1775</v>
      </c>
      <c r="B65" s="33" t="s">
        <v>268</v>
      </c>
      <c r="C65" s="33" t="s">
        <v>47</v>
      </c>
      <c r="D65" s="33" t="s">
        <v>55</v>
      </c>
      <c r="E65" s="33" t="s">
        <v>20</v>
      </c>
      <c r="F65" s="33" t="s">
        <v>1776</v>
      </c>
      <c r="G65" s="33" t="s">
        <v>1777</v>
      </c>
      <c r="H65" s="33" t="s">
        <v>1778</v>
      </c>
      <c r="I65" s="33" t="s">
        <v>1779</v>
      </c>
      <c r="J65" s="33" t="s">
        <v>1405</v>
      </c>
      <c r="K65" s="33" t="s">
        <v>1780</v>
      </c>
      <c r="L65" s="33">
        <v>0</v>
      </c>
      <c r="M65" s="33">
        <v>0</v>
      </c>
      <c r="N65" s="33">
        <f t="shared" si="2"/>
        <v>0</v>
      </c>
      <c r="O65" s="33">
        <v>30</v>
      </c>
      <c r="P65" s="33">
        <f t="shared" si="3"/>
        <v>0</v>
      </c>
      <c r="Q65" s="33" t="s">
        <v>1781</v>
      </c>
      <c r="R65" s="33" t="s">
        <v>1782</v>
      </c>
      <c r="S65" s="33" t="s">
        <v>1783</v>
      </c>
      <c r="T65" s="33" t="s">
        <v>1386</v>
      </c>
      <c r="U65" s="33" t="s">
        <v>1784</v>
      </c>
      <c r="V65" s="33" t="s">
        <v>418</v>
      </c>
      <c r="W65" s="33" t="s">
        <v>1785</v>
      </c>
      <c r="X65" s="33" t="s">
        <v>1786</v>
      </c>
      <c r="Y65" s="33" t="s">
        <v>1787</v>
      </c>
      <c r="Z65" s="33" t="s">
        <v>1765</v>
      </c>
      <c r="AA65" s="33" t="s">
        <v>1619</v>
      </c>
    </row>
    <row r="66" spans="1:27" ht="113.15">
      <c r="A66" s="33" t="s">
        <v>1788</v>
      </c>
      <c r="B66" s="33" t="s">
        <v>268</v>
      </c>
      <c r="C66" s="33" t="s">
        <v>47</v>
      </c>
      <c r="D66" s="33" t="s">
        <v>55</v>
      </c>
      <c r="E66" s="33" t="s">
        <v>216</v>
      </c>
      <c r="F66" s="33" t="s">
        <v>1789</v>
      </c>
      <c r="G66" s="33" t="s">
        <v>1790</v>
      </c>
      <c r="H66" s="33" t="s">
        <v>1791</v>
      </c>
      <c r="I66" s="33" t="s">
        <v>1779</v>
      </c>
      <c r="J66" s="33" t="s">
        <v>1405</v>
      </c>
      <c r="K66" s="33" t="s">
        <v>1792</v>
      </c>
      <c r="L66" s="33">
        <v>0</v>
      </c>
      <c r="M66" s="33">
        <v>0</v>
      </c>
      <c r="N66" s="33">
        <f t="shared" si="2"/>
        <v>0</v>
      </c>
      <c r="O66" s="33">
        <v>30</v>
      </c>
      <c r="P66" s="33">
        <f t="shared" si="3"/>
        <v>0</v>
      </c>
      <c r="Q66" s="33" t="s">
        <v>1781</v>
      </c>
      <c r="R66" s="33" t="s">
        <v>1782</v>
      </c>
      <c r="S66" s="33" t="s">
        <v>1783</v>
      </c>
      <c r="T66" s="33" t="s">
        <v>1386</v>
      </c>
      <c r="U66" s="33" t="s">
        <v>1793</v>
      </c>
      <c r="V66" s="33" t="s">
        <v>418</v>
      </c>
      <c r="W66" s="33" t="s">
        <v>1794</v>
      </c>
      <c r="X66" s="33" t="s">
        <v>423</v>
      </c>
      <c r="Y66" s="33" t="s">
        <v>1787</v>
      </c>
      <c r="Z66" s="33" t="s">
        <v>1765</v>
      </c>
      <c r="AA66" s="33" t="s">
        <v>1619</v>
      </c>
    </row>
  </sheetData>
  <dataValidations count="2">
    <dataValidation type="list" sqref="I2:I47" xr:uid="{00000000-0002-0000-0800-000000000000}">
      <formula1>"Ja,Nein,noch zu klären"</formula1>
    </dataValidation>
    <dataValidation type="list" sqref="J2:J47" xr:uid="{00000000-0002-0000-0800-000001000000}">
      <formula1>"Ja,Nein"</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Anford_QZBW_zert_spez</vt:lpstr>
      <vt:lpstr>Anford_BioZBW_zert_spez</vt:lpstr>
      <vt:lpstr>Kostenrechnung</vt:lpstr>
      <vt:lpstr>Quellen</vt:lpstr>
      <vt:lpstr>Annahmen</vt:lpstr>
      <vt:lpstr>Protokoll</vt:lpstr>
      <vt:lpstr>SankeyMATIC-Codes</vt:lpstr>
      <vt:lpstr>Anforderungen_admin_QZBW</vt:lpstr>
      <vt:lpstr>Anforderungen_admin_BioZBW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Sabrina Del Basso</cp:lastModifiedBy>
  <dcterms:created xsi:type="dcterms:W3CDTF">2026-09-04T13:15:57Z</dcterms:created>
  <dcterms:modified xsi:type="dcterms:W3CDTF">2026-09-04T13:17:57Z</dcterms:modified>
</cp:coreProperties>
</file>